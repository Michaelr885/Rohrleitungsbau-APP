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12" documentId="11_2F07861B5B8BE142E8B6427386E6459DFD8411F9" xr6:coauthVersionLast="47" xr6:coauthVersionMax="47" xr10:uidLastSave="{49FC5E71-4C8E-4BC0-9302-7480B6543867}"/>
  <bookViews>
    <workbookView xWindow="38280" yWindow="-120" windowWidth="38640" windowHeight="21120" xr2:uid="{00000000-000D-0000-FFFF-FFFF00000000}"/>
  </bookViews>
  <sheets>
    <sheet name="Schraubenlänge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7" i="10" l="1"/>
  <c r="W248" i="10"/>
  <c r="W249" i="10"/>
  <c r="W250" i="10"/>
  <c r="W251" i="10"/>
  <c r="W252" i="10"/>
  <c r="W253" i="10"/>
  <c r="W254" i="10"/>
  <c r="W255" i="10"/>
  <c r="W256" i="10"/>
  <c r="W257" i="10"/>
  <c r="W258" i="10"/>
  <c r="W259" i="10"/>
  <c r="W260" i="10"/>
  <c r="W261" i="10"/>
  <c r="W262" i="10"/>
  <c r="Z262" i="10" s="1"/>
  <c r="W263" i="10"/>
  <c r="W264" i="10"/>
  <c r="W265" i="10"/>
  <c r="W266" i="10"/>
  <c r="X247" i="10"/>
  <c r="X248" i="10"/>
  <c r="X249" i="10"/>
  <c r="X250" i="10"/>
  <c r="Z250" i="10" s="1"/>
  <c r="X251" i="10"/>
  <c r="X252" i="10"/>
  <c r="X253" i="10"/>
  <c r="X254" i="10"/>
  <c r="X255" i="10"/>
  <c r="X256" i="10"/>
  <c r="Z256" i="10" s="1"/>
  <c r="X257" i="10"/>
  <c r="Z257" i="10" s="1"/>
  <c r="X258" i="10"/>
  <c r="X259" i="10"/>
  <c r="X260" i="10"/>
  <c r="X261" i="10"/>
  <c r="X262" i="10"/>
  <c r="X263" i="10"/>
  <c r="X264" i="10"/>
  <c r="X265" i="10"/>
  <c r="X266" i="10"/>
  <c r="Y247" i="10"/>
  <c r="Z247" i="10" s="1"/>
  <c r="Y248" i="10"/>
  <c r="Y249" i="10"/>
  <c r="Y250" i="10"/>
  <c r="Y251" i="10"/>
  <c r="Y252" i="10"/>
  <c r="Y253" i="10"/>
  <c r="Y254" i="10"/>
  <c r="Z254" i="10" s="1"/>
  <c r="Y255" i="10"/>
  <c r="Y256" i="10"/>
  <c r="Y257" i="10"/>
  <c r="Y258" i="10"/>
  <c r="Y259" i="10"/>
  <c r="Y260" i="10"/>
  <c r="Y261" i="10"/>
  <c r="Y262" i="10"/>
  <c r="Y263" i="10"/>
  <c r="Y264" i="10"/>
  <c r="Y265" i="10"/>
  <c r="Y266" i="10"/>
  <c r="W219" i="10"/>
  <c r="W220" i="10"/>
  <c r="W221" i="10"/>
  <c r="W222" i="10"/>
  <c r="Z222" i="10" s="1"/>
  <c r="W223" i="10"/>
  <c r="W224" i="10"/>
  <c r="W225" i="10"/>
  <c r="W226" i="10"/>
  <c r="W227" i="10"/>
  <c r="W228" i="10"/>
  <c r="W229" i="10"/>
  <c r="W230" i="10"/>
  <c r="W231" i="10"/>
  <c r="W232" i="10"/>
  <c r="W233" i="10"/>
  <c r="W234" i="10"/>
  <c r="W235" i="10"/>
  <c r="W236" i="10"/>
  <c r="W237" i="10"/>
  <c r="W238" i="10"/>
  <c r="Z238" i="10" s="1"/>
  <c r="W239" i="10"/>
  <c r="W240" i="10"/>
  <c r="W241" i="10"/>
  <c r="W242" i="10"/>
  <c r="W243" i="10"/>
  <c r="W244" i="10"/>
  <c r="W245" i="10"/>
  <c r="W246" i="10"/>
  <c r="X219" i="10"/>
  <c r="X220" i="10"/>
  <c r="X221" i="10"/>
  <c r="X222" i="10"/>
  <c r="X223" i="10"/>
  <c r="X224" i="10"/>
  <c r="Z224" i="10" s="1"/>
  <c r="X225" i="10"/>
  <c r="Z225" i="10" s="1"/>
  <c r="X226" i="10"/>
  <c r="Z226" i="10" s="1"/>
  <c r="X227" i="10"/>
  <c r="X228" i="10"/>
  <c r="X229" i="10"/>
  <c r="X230" i="10"/>
  <c r="X231" i="10"/>
  <c r="X232" i="10"/>
  <c r="X233" i="10"/>
  <c r="Z233" i="10" s="1"/>
  <c r="X234" i="10"/>
  <c r="X235" i="10"/>
  <c r="X236" i="10"/>
  <c r="X237" i="10"/>
  <c r="X238" i="10"/>
  <c r="X239" i="10"/>
  <c r="Z239" i="10" s="1"/>
  <c r="X240" i="10"/>
  <c r="Z240" i="10" s="1"/>
  <c r="X241" i="10"/>
  <c r="Z241" i="10" s="1"/>
  <c r="X242" i="10"/>
  <c r="Z242" i="10" s="1"/>
  <c r="X243" i="10"/>
  <c r="X244" i="10"/>
  <c r="X245" i="10"/>
  <c r="X246" i="10"/>
  <c r="Y219" i="10"/>
  <c r="Y220" i="10"/>
  <c r="Y221" i="10"/>
  <c r="Y222" i="10"/>
  <c r="Y223" i="10"/>
  <c r="Y224" i="10"/>
  <c r="Y225" i="10"/>
  <c r="Y226" i="10"/>
  <c r="Y227" i="10"/>
  <c r="Y228" i="10"/>
  <c r="Y229" i="10"/>
  <c r="Y230" i="10"/>
  <c r="Z230" i="10" s="1"/>
  <c r="Y231" i="10"/>
  <c r="Y232" i="10"/>
  <c r="Y233" i="10"/>
  <c r="Y234" i="10"/>
  <c r="Y235" i="10"/>
  <c r="Y236" i="10"/>
  <c r="Y237" i="10"/>
  <c r="Y238" i="10"/>
  <c r="Y239" i="10"/>
  <c r="Y240" i="10"/>
  <c r="Y241" i="10"/>
  <c r="Y242" i="10"/>
  <c r="Y243" i="10"/>
  <c r="Y244" i="10"/>
  <c r="Y245" i="10"/>
  <c r="Y246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05" i="10"/>
  <c r="W106" i="10"/>
  <c r="W107" i="10"/>
  <c r="W108" i="10"/>
  <c r="W109" i="10"/>
  <c r="W110" i="10"/>
  <c r="W111" i="10"/>
  <c r="W112" i="10"/>
  <c r="W113" i="10"/>
  <c r="W114" i="10"/>
  <c r="W115" i="10"/>
  <c r="W116" i="10"/>
  <c r="W117" i="10"/>
  <c r="W118" i="10"/>
  <c r="W119" i="10"/>
  <c r="W120" i="10"/>
  <c r="W121" i="10"/>
  <c r="W122" i="10"/>
  <c r="W123" i="10"/>
  <c r="W124" i="10"/>
  <c r="W125" i="10"/>
  <c r="W126" i="10"/>
  <c r="W127" i="10"/>
  <c r="W128" i="10"/>
  <c r="W129" i="10"/>
  <c r="W130" i="10"/>
  <c r="W131" i="10"/>
  <c r="W132" i="10"/>
  <c r="W133" i="10"/>
  <c r="W134" i="10"/>
  <c r="W135" i="10"/>
  <c r="W136" i="10"/>
  <c r="W137" i="10"/>
  <c r="W138" i="10"/>
  <c r="W139" i="10"/>
  <c r="W140" i="10"/>
  <c r="W141" i="10"/>
  <c r="W142" i="10"/>
  <c r="W143" i="10"/>
  <c r="W144" i="10"/>
  <c r="W145" i="10"/>
  <c r="W146" i="10"/>
  <c r="W147" i="10"/>
  <c r="W148" i="10"/>
  <c r="W149" i="10"/>
  <c r="W150" i="10"/>
  <c r="W151" i="10"/>
  <c r="W152" i="10"/>
  <c r="W153" i="10"/>
  <c r="W154" i="10"/>
  <c r="W155" i="10"/>
  <c r="W156" i="10"/>
  <c r="W157" i="10"/>
  <c r="W158" i="10"/>
  <c r="W159" i="10"/>
  <c r="W160" i="10"/>
  <c r="W161" i="10"/>
  <c r="W162" i="10"/>
  <c r="W163" i="10"/>
  <c r="W164" i="10"/>
  <c r="W165" i="10"/>
  <c r="W166" i="10"/>
  <c r="W167" i="10"/>
  <c r="W168" i="10"/>
  <c r="W169" i="10"/>
  <c r="W170" i="10"/>
  <c r="W171" i="10"/>
  <c r="W172" i="10"/>
  <c r="W173" i="10"/>
  <c r="W174" i="10"/>
  <c r="W175" i="10"/>
  <c r="W176" i="10"/>
  <c r="W177" i="10"/>
  <c r="W178" i="10"/>
  <c r="W179" i="10"/>
  <c r="W180" i="10"/>
  <c r="W181" i="10"/>
  <c r="W182" i="10"/>
  <c r="W183" i="10"/>
  <c r="W184" i="10"/>
  <c r="W185" i="10"/>
  <c r="W186" i="10"/>
  <c r="W187" i="10"/>
  <c r="W188" i="10"/>
  <c r="W189" i="10"/>
  <c r="W190" i="10"/>
  <c r="W191" i="10"/>
  <c r="W192" i="10"/>
  <c r="W193" i="10"/>
  <c r="W194" i="10"/>
  <c r="W195" i="10"/>
  <c r="W196" i="10"/>
  <c r="W197" i="10"/>
  <c r="W198" i="10"/>
  <c r="W199" i="10"/>
  <c r="W200" i="10"/>
  <c r="W201" i="10"/>
  <c r="W202" i="10"/>
  <c r="W203" i="10"/>
  <c r="W204" i="10"/>
  <c r="W205" i="10"/>
  <c r="W206" i="10"/>
  <c r="W207" i="10"/>
  <c r="W208" i="10"/>
  <c r="W209" i="10"/>
  <c r="W210" i="10"/>
  <c r="W211" i="10"/>
  <c r="W212" i="10"/>
  <c r="W213" i="10"/>
  <c r="W214" i="10"/>
  <c r="W215" i="10"/>
  <c r="W216" i="10"/>
  <c r="W217" i="10"/>
  <c r="W218" i="10"/>
  <c r="X75" i="10"/>
  <c r="X76" i="10"/>
  <c r="X77" i="10"/>
  <c r="X78" i="10"/>
  <c r="X79" i="10"/>
  <c r="X80" i="10"/>
  <c r="X81" i="10"/>
  <c r="X82" i="10"/>
  <c r="X83" i="10"/>
  <c r="X84" i="10"/>
  <c r="Z84" i="10" s="1"/>
  <c r="X85" i="10"/>
  <c r="Z85" i="10" s="1"/>
  <c r="X86" i="10"/>
  <c r="X87" i="10"/>
  <c r="X88" i="10"/>
  <c r="X89" i="10"/>
  <c r="X90" i="10"/>
  <c r="X91" i="10"/>
  <c r="Z91" i="10" s="1"/>
  <c r="X92" i="10"/>
  <c r="X93" i="10"/>
  <c r="X94" i="10"/>
  <c r="X95" i="10"/>
  <c r="X96" i="10"/>
  <c r="X97" i="10"/>
  <c r="X98" i="10"/>
  <c r="X99" i="10"/>
  <c r="X100" i="10"/>
  <c r="Z100" i="10" s="1"/>
  <c r="X101" i="10"/>
  <c r="Z101" i="10" s="1"/>
  <c r="X102" i="10"/>
  <c r="Z102" i="10" s="1"/>
  <c r="X103" i="10"/>
  <c r="X104" i="10"/>
  <c r="X105" i="10"/>
  <c r="X106" i="10"/>
  <c r="X107" i="10"/>
  <c r="Z107" i="10" s="1"/>
  <c r="X108" i="10"/>
  <c r="X109" i="10"/>
  <c r="X110" i="10"/>
  <c r="X111" i="10"/>
  <c r="X112" i="10"/>
  <c r="X113" i="10"/>
  <c r="Z113" i="10" s="1"/>
  <c r="X114" i="10"/>
  <c r="X115" i="10"/>
  <c r="Z115" i="10" s="1"/>
  <c r="X116" i="10"/>
  <c r="Z116" i="10" s="1"/>
  <c r="X117" i="10"/>
  <c r="X118" i="10"/>
  <c r="X119" i="10"/>
  <c r="X120" i="10"/>
  <c r="X121" i="10"/>
  <c r="X122" i="10"/>
  <c r="X123" i="10"/>
  <c r="Z123" i="10" s="1"/>
  <c r="X124" i="10"/>
  <c r="X125" i="10"/>
  <c r="X126" i="10"/>
  <c r="X127" i="10"/>
  <c r="X128" i="10"/>
  <c r="Z128" i="10" s="1"/>
  <c r="X129" i="10"/>
  <c r="Z129" i="10" s="1"/>
  <c r="X130" i="10"/>
  <c r="X131" i="10"/>
  <c r="X132" i="10"/>
  <c r="Z132" i="10" s="1"/>
  <c r="X133" i="10"/>
  <c r="Z133" i="10" s="1"/>
  <c r="X134" i="10"/>
  <c r="X135" i="10"/>
  <c r="X136" i="10"/>
  <c r="X137" i="10"/>
  <c r="X138" i="10"/>
  <c r="X139" i="10"/>
  <c r="Z139" i="10" s="1"/>
  <c r="X140" i="10"/>
  <c r="X141" i="10"/>
  <c r="X142" i="10"/>
  <c r="X143" i="10"/>
  <c r="X144" i="10"/>
  <c r="Z144" i="10" s="1"/>
  <c r="X145" i="10"/>
  <c r="Z145" i="10" s="1"/>
  <c r="X146" i="10"/>
  <c r="Z146" i="10" s="1"/>
  <c r="X147" i="10"/>
  <c r="X148" i="10"/>
  <c r="X149" i="10"/>
  <c r="Z149" i="10" s="1"/>
  <c r="X150" i="10"/>
  <c r="X151" i="10"/>
  <c r="X152" i="10"/>
  <c r="X153" i="10"/>
  <c r="X154" i="10"/>
  <c r="X155" i="10"/>
  <c r="Z155" i="10" s="1"/>
  <c r="X156" i="10"/>
  <c r="X157" i="10"/>
  <c r="X158" i="10"/>
  <c r="X159" i="10"/>
  <c r="Z159" i="10" s="1"/>
  <c r="X160" i="10"/>
  <c r="X161" i="10"/>
  <c r="Z161" i="10" s="1"/>
  <c r="X162" i="10"/>
  <c r="X163" i="10"/>
  <c r="X164" i="10"/>
  <c r="X165" i="10"/>
  <c r="Z165" i="10" s="1"/>
  <c r="X166" i="10"/>
  <c r="X167" i="10"/>
  <c r="X168" i="10"/>
  <c r="X169" i="10"/>
  <c r="X170" i="10"/>
  <c r="X171" i="10"/>
  <c r="X172" i="10"/>
  <c r="X173" i="10"/>
  <c r="X174" i="10"/>
  <c r="X175" i="10"/>
  <c r="Z175" i="10" s="1"/>
  <c r="X176" i="10"/>
  <c r="Z176" i="10" s="1"/>
  <c r="X177" i="10"/>
  <c r="Z177" i="10" s="1"/>
  <c r="X178" i="10"/>
  <c r="Z178" i="10" s="1"/>
  <c r="X179" i="10"/>
  <c r="X180" i="10"/>
  <c r="X181" i="10"/>
  <c r="X182" i="10"/>
  <c r="X183" i="10"/>
  <c r="X184" i="10"/>
  <c r="X185" i="10"/>
  <c r="X186" i="10"/>
  <c r="X187" i="10"/>
  <c r="X188" i="10"/>
  <c r="X189" i="10"/>
  <c r="X190" i="10"/>
  <c r="X191" i="10"/>
  <c r="X192" i="10"/>
  <c r="Z192" i="10" s="1"/>
  <c r="X193" i="10"/>
  <c r="X194" i="10"/>
  <c r="Z194" i="10" s="1"/>
  <c r="X195" i="10"/>
  <c r="X196" i="10"/>
  <c r="Z196" i="10" s="1"/>
  <c r="X197" i="10"/>
  <c r="X198" i="10"/>
  <c r="X199" i="10"/>
  <c r="X200" i="10"/>
  <c r="X201" i="10"/>
  <c r="X202" i="10"/>
  <c r="X203" i="10"/>
  <c r="X204" i="10"/>
  <c r="X205" i="10"/>
  <c r="X206" i="10"/>
  <c r="X207" i="10"/>
  <c r="Z207" i="10" s="1"/>
  <c r="X208" i="10"/>
  <c r="X209" i="10"/>
  <c r="X210" i="10"/>
  <c r="X211" i="10"/>
  <c r="X212" i="10"/>
  <c r="X213" i="10"/>
  <c r="X214" i="10"/>
  <c r="X215" i="10"/>
  <c r="X216" i="10"/>
  <c r="X217" i="10"/>
  <c r="X218" i="10"/>
  <c r="Y75" i="10"/>
  <c r="Y76" i="10"/>
  <c r="Y77" i="10"/>
  <c r="Y78" i="10"/>
  <c r="Y79" i="10"/>
  <c r="Y80" i="10"/>
  <c r="Y81" i="10"/>
  <c r="Z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Z95" i="10" s="1"/>
  <c r="Y96" i="10"/>
  <c r="Y97" i="10"/>
  <c r="Y98" i="10"/>
  <c r="Y99" i="10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Y113" i="10"/>
  <c r="Y114" i="10"/>
  <c r="Y115" i="10"/>
  <c r="Y116" i="10"/>
  <c r="Y117" i="10"/>
  <c r="Y118" i="10"/>
  <c r="Y119" i="10"/>
  <c r="Y120" i="10"/>
  <c r="Y121" i="10"/>
  <c r="Y122" i="10"/>
  <c r="Y123" i="10"/>
  <c r="Y124" i="10"/>
  <c r="Y125" i="10"/>
  <c r="Y126" i="10"/>
  <c r="Y127" i="10"/>
  <c r="Y128" i="10"/>
  <c r="Y129" i="10"/>
  <c r="Y130" i="10"/>
  <c r="Y131" i="10"/>
  <c r="Y132" i="10"/>
  <c r="Y133" i="10"/>
  <c r="Y134" i="10"/>
  <c r="Y135" i="10"/>
  <c r="Y136" i="10"/>
  <c r="Y137" i="10"/>
  <c r="Y138" i="10"/>
  <c r="Y139" i="10"/>
  <c r="Y140" i="10"/>
  <c r="Y141" i="10"/>
  <c r="Y142" i="10"/>
  <c r="Y143" i="10"/>
  <c r="Y144" i="10"/>
  <c r="Y145" i="10"/>
  <c r="Y146" i="10"/>
  <c r="Y147" i="10"/>
  <c r="Y148" i="10"/>
  <c r="Y149" i="10"/>
  <c r="Y150" i="10"/>
  <c r="Y151" i="10"/>
  <c r="Y152" i="10"/>
  <c r="Y153" i="10"/>
  <c r="Y154" i="10"/>
  <c r="Y155" i="10"/>
  <c r="Y156" i="10"/>
  <c r="Y157" i="10"/>
  <c r="Y158" i="10"/>
  <c r="Y159" i="10"/>
  <c r="Y160" i="10"/>
  <c r="Y161" i="10"/>
  <c r="Y162" i="10"/>
  <c r="Y163" i="10"/>
  <c r="Y164" i="10"/>
  <c r="Y165" i="10"/>
  <c r="Y166" i="10"/>
  <c r="Y167" i="10"/>
  <c r="Y168" i="10"/>
  <c r="Y169" i="10"/>
  <c r="Y170" i="10"/>
  <c r="Y171" i="10"/>
  <c r="Y172" i="10"/>
  <c r="Y173" i="10"/>
  <c r="Y174" i="10"/>
  <c r="Z174" i="10" s="1"/>
  <c r="Y175" i="10"/>
  <c r="Y176" i="10"/>
  <c r="Y177" i="10"/>
  <c r="Y178" i="10"/>
  <c r="Y179" i="10"/>
  <c r="Y180" i="10"/>
  <c r="Y181" i="10"/>
  <c r="Y182" i="10"/>
  <c r="Y183" i="10"/>
  <c r="Y184" i="10"/>
  <c r="Y185" i="10"/>
  <c r="Y186" i="10"/>
  <c r="Y187" i="10"/>
  <c r="Y188" i="10"/>
  <c r="Y189" i="10"/>
  <c r="Y190" i="10"/>
  <c r="Y191" i="10"/>
  <c r="Y192" i="10"/>
  <c r="Y193" i="10"/>
  <c r="Y194" i="10"/>
  <c r="Y195" i="10"/>
  <c r="Y196" i="10"/>
  <c r="Y197" i="10"/>
  <c r="Y198" i="10"/>
  <c r="Y199" i="10"/>
  <c r="Y200" i="10"/>
  <c r="Y201" i="10"/>
  <c r="Y202" i="10"/>
  <c r="Y203" i="10"/>
  <c r="Y204" i="10"/>
  <c r="Y205" i="10"/>
  <c r="Y206" i="10"/>
  <c r="Y207" i="10"/>
  <c r="Y208" i="10"/>
  <c r="Y209" i="10"/>
  <c r="Y210" i="10"/>
  <c r="Y211" i="10"/>
  <c r="Y212" i="10"/>
  <c r="Y213" i="10"/>
  <c r="Y214" i="10"/>
  <c r="Y215" i="10"/>
  <c r="Y216" i="10"/>
  <c r="Y217" i="10"/>
  <c r="Y218" i="10"/>
  <c r="Z78" i="10"/>
  <c r="Z94" i="10"/>
  <c r="Z205" i="10"/>
  <c r="Y74" i="10"/>
  <c r="X74" i="10"/>
  <c r="W74" i="10"/>
  <c r="Y73" i="10"/>
  <c r="X73" i="10"/>
  <c r="W73" i="10"/>
  <c r="Y72" i="10"/>
  <c r="X72" i="10"/>
  <c r="W72" i="10"/>
  <c r="Y71" i="10"/>
  <c r="X71" i="10"/>
  <c r="W71" i="10"/>
  <c r="Y70" i="10"/>
  <c r="X70" i="10"/>
  <c r="W70" i="10"/>
  <c r="Y69" i="10"/>
  <c r="X69" i="10"/>
  <c r="W69" i="10"/>
  <c r="Y68" i="10"/>
  <c r="X68" i="10"/>
  <c r="W68" i="10"/>
  <c r="Y67" i="10"/>
  <c r="X67" i="10"/>
  <c r="Z67" i="10" s="1"/>
  <c r="W67" i="10"/>
  <c r="Y66" i="10"/>
  <c r="X66" i="10"/>
  <c r="W66" i="10"/>
  <c r="Y65" i="10"/>
  <c r="X65" i="10"/>
  <c r="W65" i="10"/>
  <c r="Y64" i="10"/>
  <c r="X64" i="10"/>
  <c r="W64" i="10"/>
  <c r="Y63" i="10"/>
  <c r="X63" i="10"/>
  <c r="W63" i="10"/>
  <c r="Y62" i="10"/>
  <c r="X62" i="10"/>
  <c r="Z62" i="10" s="1"/>
  <c r="W62" i="10"/>
  <c r="Y61" i="10"/>
  <c r="X61" i="10"/>
  <c r="W61" i="10"/>
  <c r="Y60" i="10"/>
  <c r="X60" i="10"/>
  <c r="W60" i="10"/>
  <c r="Y59" i="10"/>
  <c r="X59" i="10"/>
  <c r="W59" i="10"/>
  <c r="Y58" i="10"/>
  <c r="X58" i="10"/>
  <c r="W58" i="10"/>
  <c r="Y57" i="10"/>
  <c r="X57" i="10"/>
  <c r="W57" i="10"/>
  <c r="Y56" i="10"/>
  <c r="X56" i="10"/>
  <c r="W56" i="10"/>
  <c r="Y55" i="10"/>
  <c r="X55" i="10"/>
  <c r="W55" i="10"/>
  <c r="Y54" i="10"/>
  <c r="X54" i="10"/>
  <c r="W54" i="10"/>
  <c r="Y53" i="10"/>
  <c r="X53" i="10"/>
  <c r="W53" i="10"/>
  <c r="Y52" i="10"/>
  <c r="X52" i="10"/>
  <c r="Z52" i="10" s="1"/>
  <c r="W52" i="10"/>
  <c r="Y51" i="10"/>
  <c r="X51" i="10"/>
  <c r="Z51" i="10" s="1"/>
  <c r="W51" i="10"/>
  <c r="Y50" i="10"/>
  <c r="X50" i="10"/>
  <c r="W50" i="10"/>
  <c r="Y49" i="10"/>
  <c r="X49" i="10"/>
  <c r="W49" i="10"/>
  <c r="Y48" i="10"/>
  <c r="X48" i="10"/>
  <c r="W48" i="10"/>
  <c r="Y47" i="10"/>
  <c r="X47" i="10"/>
  <c r="W47" i="10"/>
  <c r="Y46" i="10"/>
  <c r="X46" i="10"/>
  <c r="Z46" i="10" s="1"/>
  <c r="W46" i="10"/>
  <c r="Y45" i="10"/>
  <c r="X45" i="10"/>
  <c r="W45" i="10"/>
  <c r="Y44" i="10"/>
  <c r="X44" i="10"/>
  <c r="W44" i="10"/>
  <c r="Y43" i="10"/>
  <c r="X43" i="10"/>
  <c r="W43" i="10"/>
  <c r="Y42" i="10"/>
  <c r="X42" i="10"/>
  <c r="W42" i="10"/>
  <c r="Y41" i="10"/>
  <c r="X41" i="10"/>
  <c r="W41" i="10"/>
  <c r="Y40" i="10"/>
  <c r="X40" i="10"/>
  <c r="W40" i="10"/>
  <c r="Y39" i="10"/>
  <c r="X39" i="10"/>
  <c r="W39" i="10"/>
  <c r="Y38" i="10"/>
  <c r="X38" i="10"/>
  <c r="W38" i="10"/>
  <c r="Y37" i="10"/>
  <c r="X37" i="10"/>
  <c r="W37" i="10"/>
  <c r="Y36" i="10"/>
  <c r="X36" i="10"/>
  <c r="W36" i="10"/>
  <c r="Y35" i="10"/>
  <c r="X35" i="10"/>
  <c r="W35" i="10"/>
  <c r="Y34" i="10"/>
  <c r="X34" i="10"/>
  <c r="W34" i="10"/>
  <c r="Y33" i="10"/>
  <c r="X33" i="10"/>
  <c r="W33" i="10"/>
  <c r="Y32" i="10"/>
  <c r="X32" i="10"/>
  <c r="Z32" i="10" s="1"/>
  <c r="W32" i="10"/>
  <c r="Y31" i="10"/>
  <c r="X31" i="10"/>
  <c r="W31" i="10"/>
  <c r="Y30" i="10"/>
  <c r="X30" i="10"/>
  <c r="Z30" i="10" s="1"/>
  <c r="W30" i="10"/>
  <c r="Y29" i="10"/>
  <c r="X29" i="10"/>
  <c r="W29" i="10"/>
  <c r="Y28" i="10"/>
  <c r="X28" i="10"/>
  <c r="W28" i="10"/>
  <c r="Y27" i="10"/>
  <c r="X27" i="10"/>
  <c r="W27" i="10"/>
  <c r="Y26" i="10"/>
  <c r="X26" i="10"/>
  <c r="W26" i="10"/>
  <c r="Y25" i="10"/>
  <c r="X25" i="10"/>
  <c r="W25" i="10"/>
  <c r="Y24" i="10"/>
  <c r="X24" i="10"/>
  <c r="W24" i="10"/>
  <c r="Y23" i="10"/>
  <c r="X23" i="10"/>
  <c r="W23" i="10"/>
  <c r="Y22" i="10"/>
  <c r="X22" i="10"/>
  <c r="W22" i="10"/>
  <c r="Y21" i="10"/>
  <c r="X21" i="10"/>
  <c r="W21" i="10"/>
  <c r="Y20" i="10"/>
  <c r="X20" i="10"/>
  <c r="W20" i="10"/>
  <c r="Y19" i="10"/>
  <c r="X19" i="10"/>
  <c r="Z19" i="10" s="1"/>
  <c r="W19" i="10"/>
  <c r="Y18" i="10"/>
  <c r="X18" i="10"/>
  <c r="W18" i="10"/>
  <c r="Y17" i="10"/>
  <c r="X17" i="10"/>
  <c r="W17" i="10"/>
  <c r="Y16" i="10"/>
  <c r="X16" i="10"/>
  <c r="W16" i="10"/>
  <c r="Y15" i="10"/>
  <c r="X15" i="10"/>
  <c r="W15" i="10"/>
  <c r="Y14" i="10"/>
  <c r="X14" i="10"/>
  <c r="W14" i="10"/>
  <c r="Y13" i="10"/>
  <c r="X13" i="10"/>
  <c r="W13" i="10"/>
  <c r="Y12" i="10"/>
  <c r="X12" i="10"/>
  <c r="W12" i="10"/>
  <c r="Y11" i="10"/>
  <c r="X11" i="10"/>
  <c r="W11" i="10"/>
  <c r="Y10" i="10"/>
  <c r="X10" i="10"/>
  <c r="W10" i="10"/>
  <c r="Y9" i="10"/>
  <c r="X9" i="10"/>
  <c r="W9" i="10"/>
  <c r="Y8" i="10"/>
  <c r="X8" i="10"/>
  <c r="W8" i="10"/>
  <c r="Y7" i="10"/>
  <c r="X7" i="10"/>
  <c r="W7" i="10"/>
  <c r="Y6" i="10"/>
  <c r="X6" i="10"/>
  <c r="W6" i="10"/>
  <c r="Y5" i="10"/>
  <c r="X5" i="10"/>
  <c r="W5" i="10"/>
  <c r="Y4" i="10"/>
  <c r="X4" i="10"/>
  <c r="W4" i="10"/>
  <c r="Y3" i="10"/>
  <c r="X3" i="10"/>
  <c r="Z3" i="10" s="1"/>
  <c r="W3" i="10"/>
  <c r="Z4" i="10" l="1"/>
  <c r="Z264" i="10"/>
  <c r="Z248" i="10"/>
  <c r="Z204" i="10"/>
  <c r="Z188" i="10"/>
  <c r="Z140" i="10"/>
  <c r="Z124" i="10"/>
  <c r="Z237" i="10"/>
  <c r="Z221" i="10"/>
  <c r="Z253" i="10"/>
  <c r="Z213" i="10"/>
  <c r="Z197" i="10"/>
  <c r="Z181" i="10"/>
  <c r="Z236" i="10"/>
  <c r="Z220" i="10"/>
  <c r="Z12" i="10"/>
  <c r="Z28" i="10"/>
  <c r="Z117" i="10"/>
  <c r="Z99" i="10"/>
  <c r="Z191" i="10"/>
  <c r="Z252" i="10"/>
  <c r="Z13" i="10"/>
  <c r="Z29" i="10"/>
  <c r="Z45" i="10"/>
  <c r="Z61" i="10"/>
  <c r="Z24" i="10"/>
  <c r="Z162" i="10"/>
  <c r="Z6" i="10"/>
  <c r="Z70" i="10"/>
  <c r="Z57" i="10"/>
  <c r="Z9" i="10"/>
  <c r="Z10" i="10"/>
  <c r="Z42" i="10"/>
  <c r="Z58" i="10"/>
  <c r="Z74" i="10"/>
  <c r="Z20" i="10"/>
  <c r="Z68" i="10"/>
  <c r="Z21" i="10"/>
  <c r="Z37" i="10"/>
  <c r="Z14" i="10"/>
  <c r="Z25" i="10"/>
  <c r="Z41" i="10"/>
  <c r="Z73" i="10"/>
  <c r="Z36" i="10"/>
  <c r="Z97" i="10"/>
  <c r="Z173" i="10"/>
  <c r="Z157" i="10"/>
  <c r="Z141" i="10"/>
  <c r="Z109" i="10"/>
  <c r="Z93" i="10"/>
  <c r="Z71" i="10"/>
  <c r="Z266" i="10"/>
  <c r="Z55" i="10"/>
  <c r="Z18" i="10"/>
  <c r="Z34" i="10"/>
  <c r="Z26" i="10"/>
  <c r="Z64" i="10"/>
  <c r="Z203" i="10"/>
  <c r="Z160" i="10"/>
  <c r="Z265" i="10"/>
  <c r="Z15" i="10"/>
  <c r="Z31" i="10"/>
  <c r="Z47" i="10"/>
  <c r="Z255" i="10"/>
  <c r="Z8" i="10"/>
  <c r="Z40" i="10"/>
  <c r="Z50" i="10"/>
  <c r="Z56" i="10"/>
  <c r="Z66" i="10"/>
  <c r="Z72" i="10"/>
  <c r="Z214" i="10"/>
  <c r="Z79" i="10"/>
  <c r="Z82" i="10"/>
  <c r="Z206" i="10"/>
  <c r="Z190" i="10"/>
  <c r="Z158" i="10"/>
  <c r="Z96" i="10"/>
  <c r="Z189" i="10"/>
  <c r="Z125" i="10"/>
  <c r="Z77" i="10"/>
  <c r="Z80" i="10"/>
  <c r="Z63" i="10"/>
  <c r="Z172" i="10"/>
  <c r="Z156" i="10"/>
  <c r="Z108" i="10"/>
  <c r="Z92" i="10"/>
  <c r="Z76" i="10"/>
  <c r="Z251" i="10"/>
  <c r="Z249" i="10"/>
  <c r="Z171" i="10"/>
  <c r="Z16" i="10"/>
  <c r="Z48" i="10"/>
  <c r="Z22" i="10"/>
  <c r="Z38" i="10"/>
  <c r="Z54" i="10"/>
  <c r="Z168" i="10"/>
  <c r="Z152" i="10"/>
  <c r="Z231" i="10"/>
  <c r="Z246" i="10"/>
  <c r="Z44" i="10"/>
  <c r="Z60" i="10"/>
  <c r="Z182" i="10"/>
  <c r="Z23" i="10"/>
  <c r="Z39" i="10"/>
  <c r="Z7" i="10"/>
  <c r="Z212" i="10"/>
  <c r="Z180" i="10"/>
  <c r="Z164" i="10"/>
  <c r="Z148" i="10"/>
  <c r="Z227" i="10"/>
  <c r="Z223" i="10"/>
  <c r="Z263" i="10"/>
  <c r="Z245" i="10"/>
  <c r="Z229" i="10"/>
  <c r="Z261" i="10"/>
  <c r="Z244" i="10"/>
  <c r="Z228" i="10"/>
  <c r="Z260" i="10"/>
  <c r="Z130" i="10"/>
  <c r="Z259" i="10"/>
  <c r="Z5" i="10"/>
  <c r="Z11" i="10"/>
  <c r="Z27" i="10"/>
  <c r="Z43" i="10"/>
  <c r="Z53" i="10"/>
  <c r="Z59" i="10"/>
  <c r="Z69" i="10"/>
  <c r="Z187" i="10"/>
  <c r="Z75" i="10"/>
  <c r="Z234" i="10"/>
  <c r="Z258" i="10"/>
  <c r="Z209" i="10"/>
  <c r="Z193" i="10"/>
  <c r="Z218" i="10"/>
  <c r="Z202" i="10"/>
  <c r="Z186" i="10"/>
  <c r="Z170" i="10"/>
  <c r="Z154" i="10"/>
  <c r="Z138" i="10"/>
  <c r="Z122" i="10"/>
  <c r="Z106" i="10"/>
  <c r="Z90" i="10"/>
  <c r="Z243" i="10"/>
  <c r="Z235" i="10"/>
  <c r="Z219" i="10"/>
  <c r="Z17" i="10"/>
  <c r="Z33" i="10"/>
  <c r="Z49" i="10"/>
  <c r="Z65" i="10"/>
  <c r="Z208" i="10"/>
  <c r="Z217" i="10"/>
  <c r="Z201" i="10"/>
  <c r="Z185" i="10"/>
  <c r="Z169" i="10"/>
  <c r="Z153" i="10"/>
  <c r="Z137" i="10"/>
  <c r="Z121" i="10"/>
  <c r="Z105" i="10"/>
  <c r="Z89" i="10"/>
  <c r="Z232" i="10"/>
  <c r="Z200" i="10"/>
  <c r="Z136" i="10"/>
  <c r="Z104" i="10"/>
  <c r="Z215" i="10"/>
  <c r="Z86" i="10"/>
  <c r="Z216" i="10"/>
  <c r="Z120" i="10"/>
  <c r="Z199" i="10"/>
  <c r="Z183" i="10"/>
  <c r="Z167" i="10"/>
  <c r="Z151" i="10"/>
  <c r="Z135" i="10"/>
  <c r="Z119" i="10"/>
  <c r="Z103" i="10"/>
  <c r="Z87" i="10"/>
  <c r="Z198" i="10"/>
  <c r="Z166" i="10"/>
  <c r="Z150" i="10"/>
  <c r="Z134" i="10"/>
  <c r="Z118" i="10"/>
  <c r="Z112" i="10"/>
  <c r="Z184" i="10"/>
  <c r="Z88" i="10"/>
  <c r="Z143" i="10"/>
  <c r="Z127" i="10"/>
  <c r="Z111" i="10"/>
  <c r="Z35" i="10"/>
  <c r="Z142" i="10"/>
  <c r="Z126" i="10"/>
  <c r="Z110" i="10"/>
  <c r="Z211" i="10"/>
  <c r="Z195" i="10"/>
  <c r="Z179" i="10"/>
  <c r="Z163" i="10"/>
  <c r="Z147" i="10"/>
  <c r="Z131" i="10"/>
  <c r="Z83" i="10"/>
  <c r="Z210" i="10"/>
  <c r="Z114" i="10"/>
  <c r="Z98" i="10"/>
  <c r="D6" i="10" l="1"/>
  <c r="B9" i="10"/>
  <c r="D9" i="10"/>
  <c r="B6" i="10"/>
  <c r="C9" i="10" s="1"/>
  <c r="C6" i="10" l="1"/>
</calcChain>
</file>

<file path=xl/sharedStrings.xml><?xml version="1.0" encoding="utf-8"?>
<sst xmlns="http://schemas.openxmlformats.org/spreadsheetml/2006/main" count="664" uniqueCount="59">
  <si>
    <t>PN</t>
  </si>
  <si>
    <t>DN</t>
  </si>
  <si>
    <t>Höhe</t>
  </si>
  <si>
    <t>Anzahl Schrauben</t>
  </si>
  <si>
    <t>Gewinde</t>
  </si>
  <si>
    <t>M20</t>
  </si>
  <si>
    <t>M30</t>
  </si>
  <si>
    <t>M24</t>
  </si>
  <si>
    <t>M27</t>
  </si>
  <si>
    <t>M12</t>
  </si>
  <si>
    <t>M16</t>
  </si>
  <si>
    <t>M33</t>
  </si>
  <si>
    <t>Mutter</t>
  </si>
  <si>
    <t>Scheibe</t>
  </si>
  <si>
    <t>Vorschweißflansch</t>
  </si>
  <si>
    <t>Art</t>
  </si>
  <si>
    <t>Steigung</t>
  </si>
  <si>
    <t>M 1</t>
  </si>
  <si>
    <t>M1,1</t>
  </si>
  <si>
    <t>M1,2</t>
  </si>
  <si>
    <t>M1,4</t>
  </si>
  <si>
    <t>M1,6</t>
  </si>
  <si>
    <t>M1,8</t>
  </si>
  <si>
    <t>M2</t>
  </si>
  <si>
    <t>M2,2</t>
  </si>
  <si>
    <t>M2,5</t>
  </si>
  <si>
    <t>M3</t>
  </si>
  <si>
    <t>M3,5</t>
  </si>
  <si>
    <t>M4</t>
  </si>
  <si>
    <t>M5</t>
  </si>
  <si>
    <t>M6</t>
  </si>
  <si>
    <t>M8</t>
  </si>
  <si>
    <t>M10</t>
  </si>
  <si>
    <t>M14</t>
  </si>
  <si>
    <t>M18</t>
  </si>
  <si>
    <t>M22</t>
  </si>
  <si>
    <t>M36</t>
  </si>
  <si>
    <t>M42</t>
  </si>
  <si>
    <t>M48</t>
  </si>
  <si>
    <t>M56</t>
  </si>
  <si>
    <t>M64</t>
  </si>
  <si>
    <t>Schraube</t>
  </si>
  <si>
    <t>Länge</t>
  </si>
  <si>
    <t>Prüfung</t>
  </si>
  <si>
    <t>Dichtung Höhe in mm</t>
  </si>
  <si>
    <t>Überstand Anzahl Gewindegänge</t>
  </si>
  <si>
    <t>Überstand in mm</t>
  </si>
  <si>
    <t>Starre Schrauben</t>
  </si>
  <si>
    <t>Stehbolzen</t>
  </si>
  <si>
    <t>Feder und Nut</t>
  </si>
  <si>
    <t>Nut / Rücksprung f2</t>
  </si>
  <si>
    <t>Vor- und Rücksprung</t>
  </si>
  <si>
    <t>Fl. Typ 2 Bund Typ 32</t>
  </si>
  <si>
    <t>Bund</t>
  </si>
  <si>
    <t>M39</t>
  </si>
  <si>
    <t>M45</t>
  </si>
  <si>
    <t>NA</t>
  </si>
  <si>
    <t>oder / und</t>
  </si>
  <si>
    <t>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</si>
</sst>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2DCDB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948A54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Protection="1">
      <protection hidden="1"/>
    </xf>
    <xf numFmtId="0" fontId="2" fillId="4" borderId="1" xfId="0" applyFont="1" applyFill="1" applyBorder="1" applyAlignment="1" applyProtection="1">
      <alignment horizontal="center" vertical="center" wrapText="1"/>
      <protection hidden="1"/>
    </xf>
    <xf numFmtId="0" fontId="2" fillId="4" borderId="2" xfId="0" applyFont="1" applyFill="1" applyBorder="1" applyAlignment="1" applyProtection="1">
      <alignment horizontal="center" vertical="center" wrapText="1"/>
      <protection hidden="1"/>
    </xf>
    <xf numFmtId="0" fontId="2" fillId="3" borderId="2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5" borderId="1" xfId="0" applyFill="1" applyBorder="1" applyAlignment="1" applyProtection="1">
      <alignment horizontal="center" vertical="center"/>
      <protection hidden="1"/>
    </xf>
    <xf numFmtId="0" fontId="0" fillId="5" borderId="2" xfId="0" applyFill="1" applyBorder="1" applyAlignment="1" applyProtection="1">
      <alignment horizontal="center" vertical="center"/>
      <protection hidden="1"/>
    </xf>
    <xf numFmtId="0" fontId="0" fillId="5" borderId="3" xfId="0" applyFill="1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17" fontId="5" fillId="0" borderId="0" xfId="0" applyNumberFormat="1" applyFont="1" applyProtection="1">
      <protection hidden="1"/>
    </xf>
    <xf numFmtId="0" fontId="5" fillId="0" borderId="0" xfId="0" applyFont="1" applyProtection="1">
      <protection hidden="1"/>
    </xf>
    <xf numFmtId="0" fontId="5" fillId="6" borderId="1" xfId="0" applyFont="1" applyFill="1" applyBorder="1" applyProtection="1">
      <protection hidden="1"/>
    </xf>
    <xf numFmtId="0" fontId="5" fillId="6" borderId="2" xfId="0" applyFont="1" applyFill="1" applyBorder="1" applyProtection="1">
      <protection hidden="1"/>
    </xf>
    <xf numFmtId="0" fontId="5" fillId="6" borderId="11" xfId="0" applyFont="1" applyFill="1" applyBorder="1" applyProtection="1">
      <protection hidden="1"/>
    </xf>
    <xf numFmtId="0" fontId="5" fillId="7" borderId="1" xfId="0" applyFont="1" applyFill="1" applyBorder="1" applyProtection="1">
      <protection hidden="1"/>
    </xf>
    <xf numFmtId="0" fontId="5" fillId="7" borderId="2" xfId="0" applyFont="1" applyFill="1" applyBorder="1" applyProtection="1">
      <protection hidden="1"/>
    </xf>
    <xf numFmtId="0" fontId="5" fillId="7" borderId="3" xfId="0" applyFont="1" applyFill="1" applyBorder="1" applyProtection="1">
      <protection hidden="1"/>
    </xf>
    <xf numFmtId="0" fontId="5" fillId="8" borderId="1" xfId="0" applyFont="1" applyFill="1" applyBorder="1" applyProtection="1">
      <protection hidden="1"/>
    </xf>
    <xf numFmtId="0" fontId="5" fillId="8" borderId="2" xfId="0" applyFont="1" applyFill="1" applyBorder="1" applyProtection="1">
      <protection hidden="1"/>
    </xf>
    <xf numFmtId="0" fontId="5" fillId="8" borderId="11" xfId="0" applyFont="1" applyFill="1" applyBorder="1" applyProtection="1">
      <protection hidden="1"/>
    </xf>
    <xf numFmtId="0" fontId="5" fillId="0" borderId="12" xfId="0" applyFont="1" applyBorder="1" applyProtection="1">
      <protection hidden="1"/>
    </xf>
    <xf numFmtId="0" fontId="5" fillId="6" borderId="13" xfId="0" applyFont="1" applyFill="1" applyBorder="1" applyProtection="1">
      <protection hidden="1"/>
    </xf>
    <xf numFmtId="0" fontId="5" fillId="6" borderId="14" xfId="0" applyFont="1" applyFill="1" applyBorder="1" applyProtection="1">
      <protection hidden="1"/>
    </xf>
    <xf numFmtId="0" fontId="5" fillId="6" borderId="15" xfId="0" applyFont="1" applyFill="1" applyBorder="1" applyProtection="1">
      <protection hidden="1"/>
    </xf>
    <xf numFmtId="0" fontId="5" fillId="7" borderId="13" xfId="0" applyFont="1" applyFill="1" applyBorder="1" applyProtection="1">
      <protection hidden="1"/>
    </xf>
    <xf numFmtId="0" fontId="5" fillId="7" borderId="14" xfId="0" applyFont="1" applyFill="1" applyBorder="1" applyProtection="1">
      <protection hidden="1"/>
    </xf>
    <xf numFmtId="0" fontId="5" fillId="7" borderId="16" xfId="0" applyFont="1" applyFill="1" applyBorder="1" applyProtection="1">
      <protection hidden="1"/>
    </xf>
    <xf numFmtId="0" fontId="5" fillId="8" borderId="13" xfId="0" applyFont="1" applyFill="1" applyBorder="1" applyProtection="1">
      <protection hidden="1"/>
    </xf>
    <xf numFmtId="0" fontId="5" fillId="8" borderId="14" xfId="0" applyFont="1" applyFill="1" applyBorder="1" applyProtection="1">
      <protection hidden="1"/>
    </xf>
    <xf numFmtId="0" fontId="5" fillId="8" borderId="15" xfId="0" applyFont="1" applyFill="1" applyBorder="1" applyProtection="1">
      <protection hidden="1"/>
    </xf>
    <xf numFmtId="0" fontId="5" fillId="0" borderId="17" xfId="0" applyFont="1" applyBorder="1" applyAlignment="1" applyProtection="1">
      <alignment horizontal="center"/>
      <protection hidden="1"/>
    </xf>
    <xf numFmtId="0" fontId="5" fillId="9" borderId="13" xfId="0" applyFont="1" applyFill="1" applyBorder="1" applyProtection="1">
      <protection hidden="1"/>
    </xf>
    <xf numFmtId="0" fontId="5" fillId="9" borderId="14" xfId="0" applyFont="1" applyFill="1" applyBorder="1" applyProtection="1">
      <protection hidden="1"/>
    </xf>
    <xf numFmtId="0" fontId="5" fillId="9" borderId="15" xfId="0" applyFont="1" applyFill="1" applyBorder="1" applyProtection="1">
      <protection hidden="1"/>
    </xf>
    <xf numFmtId="0" fontId="5" fillId="9" borderId="16" xfId="0" applyFont="1" applyFill="1" applyBorder="1" applyProtection="1">
      <protection hidden="1"/>
    </xf>
    <xf numFmtId="0" fontId="5" fillId="9" borderId="17" xfId="0" applyFont="1" applyFill="1" applyBorder="1" applyAlignment="1" applyProtection="1">
      <alignment horizontal="center"/>
      <protection hidden="1"/>
    </xf>
    <xf numFmtId="0" fontId="5" fillId="0" borderId="13" xfId="0" applyFont="1" applyBorder="1" applyProtection="1">
      <protection hidden="1"/>
    </xf>
    <xf numFmtId="0" fontId="5" fillId="0" borderId="14" xfId="0" applyFont="1" applyBorder="1" applyProtection="1">
      <protection hidden="1"/>
    </xf>
    <xf numFmtId="0" fontId="5" fillId="0" borderId="15" xfId="0" applyFont="1" applyBorder="1" applyProtection="1">
      <protection hidden="1"/>
    </xf>
    <xf numFmtId="0" fontId="5" fillId="0" borderId="16" xfId="0" applyFont="1" applyBorder="1" applyProtection="1">
      <protection hidden="1"/>
    </xf>
    <xf numFmtId="0" fontId="5" fillId="10" borderId="13" xfId="0" applyFont="1" applyFill="1" applyBorder="1" applyProtection="1">
      <protection hidden="1"/>
    </xf>
    <xf numFmtId="0" fontId="5" fillId="10" borderId="14" xfId="0" applyFont="1" applyFill="1" applyBorder="1" applyProtection="1">
      <protection hidden="1"/>
    </xf>
    <xf numFmtId="0" fontId="5" fillId="10" borderId="15" xfId="0" applyFont="1" applyFill="1" applyBorder="1" applyProtection="1">
      <protection hidden="1"/>
    </xf>
    <xf numFmtId="0" fontId="5" fillId="10" borderId="16" xfId="0" applyFont="1" applyFill="1" applyBorder="1" applyProtection="1">
      <protection hidden="1"/>
    </xf>
    <xf numFmtId="0" fontId="5" fillId="10" borderId="17" xfId="0" applyFont="1" applyFill="1" applyBorder="1" applyAlignment="1" applyProtection="1">
      <alignment horizontal="center"/>
      <protection hidden="1"/>
    </xf>
    <xf numFmtId="0" fontId="5" fillId="11" borderId="13" xfId="0" applyFont="1" applyFill="1" applyBorder="1" applyProtection="1">
      <protection hidden="1"/>
    </xf>
    <xf numFmtId="0" fontId="5" fillId="11" borderId="14" xfId="0" applyFont="1" applyFill="1" applyBorder="1" applyProtection="1">
      <protection hidden="1"/>
    </xf>
    <xf numFmtId="0" fontId="5" fillId="11" borderId="15" xfId="0" applyFont="1" applyFill="1" applyBorder="1" applyProtection="1">
      <protection hidden="1"/>
    </xf>
    <xf numFmtId="0" fontId="5" fillId="11" borderId="16" xfId="0" applyFont="1" applyFill="1" applyBorder="1" applyProtection="1">
      <protection hidden="1"/>
    </xf>
    <xf numFmtId="0" fontId="5" fillId="11" borderId="17" xfId="0" applyFont="1" applyFill="1" applyBorder="1" applyAlignment="1" applyProtection="1">
      <alignment horizontal="center"/>
      <protection hidden="1"/>
    </xf>
    <xf numFmtId="0" fontId="5" fillId="12" borderId="13" xfId="0" applyFont="1" applyFill="1" applyBorder="1" applyProtection="1">
      <protection hidden="1"/>
    </xf>
    <xf numFmtId="0" fontId="5" fillId="12" borderId="14" xfId="0" applyFont="1" applyFill="1" applyBorder="1" applyProtection="1">
      <protection hidden="1"/>
    </xf>
    <xf numFmtId="0" fontId="5" fillId="12" borderId="15" xfId="0" applyFont="1" applyFill="1" applyBorder="1" applyProtection="1">
      <protection hidden="1"/>
    </xf>
    <xf numFmtId="0" fontId="5" fillId="12" borderId="16" xfId="0" applyFont="1" applyFill="1" applyBorder="1" applyProtection="1">
      <protection hidden="1"/>
    </xf>
    <xf numFmtId="0" fontId="5" fillId="12" borderId="17" xfId="0" applyFont="1" applyFill="1" applyBorder="1" applyAlignment="1" applyProtection="1">
      <alignment horizontal="center"/>
      <protection hidden="1"/>
    </xf>
    <xf numFmtId="0" fontId="5" fillId="13" borderId="13" xfId="0" applyFont="1" applyFill="1" applyBorder="1" applyProtection="1">
      <protection hidden="1"/>
    </xf>
    <xf numFmtId="0" fontId="5" fillId="13" borderId="14" xfId="0" applyFont="1" applyFill="1" applyBorder="1" applyProtection="1">
      <protection hidden="1"/>
    </xf>
    <xf numFmtId="0" fontId="5" fillId="13" borderId="15" xfId="0" applyFont="1" applyFill="1" applyBorder="1" applyProtection="1">
      <protection hidden="1"/>
    </xf>
    <xf numFmtId="0" fontId="5" fillId="13" borderId="16" xfId="0" applyFont="1" applyFill="1" applyBorder="1" applyProtection="1">
      <protection hidden="1"/>
    </xf>
    <xf numFmtId="0" fontId="5" fillId="13" borderId="17" xfId="0" applyFont="1" applyFill="1" applyBorder="1" applyAlignment="1" applyProtection="1">
      <alignment horizontal="center"/>
      <protection hidden="1"/>
    </xf>
    <xf numFmtId="0" fontId="5" fillId="14" borderId="13" xfId="0" applyFont="1" applyFill="1" applyBorder="1" applyProtection="1">
      <protection hidden="1"/>
    </xf>
    <xf numFmtId="0" fontId="5" fillId="14" borderId="14" xfId="0" applyFont="1" applyFill="1" applyBorder="1" applyProtection="1">
      <protection hidden="1"/>
    </xf>
    <xf numFmtId="0" fontId="5" fillId="14" borderId="15" xfId="0" applyFont="1" applyFill="1" applyBorder="1" applyProtection="1">
      <protection hidden="1"/>
    </xf>
    <xf numFmtId="0" fontId="5" fillId="14" borderId="16" xfId="0" applyFont="1" applyFill="1" applyBorder="1" applyProtection="1">
      <protection hidden="1"/>
    </xf>
    <xf numFmtId="0" fontId="5" fillId="14" borderId="17" xfId="0" applyFont="1" applyFill="1" applyBorder="1" applyAlignment="1" applyProtection="1">
      <alignment horizontal="center"/>
      <protection hidden="1"/>
    </xf>
    <xf numFmtId="0" fontId="5" fillId="15" borderId="13" xfId="0" applyFont="1" applyFill="1" applyBorder="1" applyProtection="1">
      <protection hidden="1"/>
    </xf>
    <xf numFmtId="0" fontId="5" fillId="15" borderId="14" xfId="0" applyFont="1" applyFill="1" applyBorder="1" applyProtection="1">
      <protection hidden="1"/>
    </xf>
    <xf numFmtId="0" fontId="5" fillId="15" borderId="15" xfId="0" applyFont="1" applyFill="1" applyBorder="1" applyProtection="1">
      <protection hidden="1"/>
    </xf>
    <xf numFmtId="0" fontId="5" fillId="15" borderId="16" xfId="0" applyFont="1" applyFill="1" applyBorder="1" applyProtection="1">
      <protection hidden="1"/>
    </xf>
    <xf numFmtId="0" fontId="5" fillId="15" borderId="17" xfId="0" applyFont="1" applyFill="1" applyBorder="1" applyAlignment="1" applyProtection="1">
      <alignment horizontal="center"/>
      <protection hidden="1"/>
    </xf>
    <xf numFmtId="0" fontId="5" fillId="16" borderId="13" xfId="0" applyFont="1" applyFill="1" applyBorder="1" applyProtection="1">
      <protection hidden="1"/>
    </xf>
    <xf numFmtId="0" fontId="5" fillId="16" borderId="14" xfId="0" applyFont="1" applyFill="1" applyBorder="1" applyProtection="1">
      <protection hidden="1"/>
    </xf>
    <xf numFmtId="0" fontId="5" fillId="16" borderId="15" xfId="0" applyFont="1" applyFill="1" applyBorder="1" applyProtection="1">
      <protection hidden="1"/>
    </xf>
    <xf numFmtId="0" fontId="5" fillId="16" borderId="16" xfId="0" applyFont="1" applyFill="1" applyBorder="1" applyProtection="1">
      <protection hidden="1"/>
    </xf>
    <xf numFmtId="0" fontId="5" fillId="16" borderId="17" xfId="0" applyFont="1" applyFill="1" applyBorder="1" applyAlignment="1" applyProtection="1">
      <alignment horizontal="center"/>
      <protection hidden="1"/>
    </xf>
    <xf numFmtId="0" fontId="5" fillId="17" borderId="13" xfId="0" applyFont="1" applyFill="1" applyBorder="1" applyProtection="1">
      <protection hidden="1"/>
    </xf>
    <xf numFmtId="0" fontId="5" fillId="17" borderId="14" xfId="0" applyFont="1" applyFill="1" applyBorder="1" applyProtection="1">
      <protection hidden="1"/>
    </xf>
    <xf numFmtId="0" fontId="5" fillId="17" borderId="15" xfId="0" applyFont="1" applyFill="1" applyBorder="1" applyProtection="1">
      <protection hidden="1"/>
    </xf>
    <xf numFmtId="0" fontId="5" fillId="17" borderId="16" xfId="0" applyFont="1" applyFill="1" applyBorder="1" applyProtection="1">
      <protection hidden="1"/>
    </xf>
    <xf numFmtId="0" fontId="5" fillId="17" borderId="17" xfId="0" applyFont="1" applyFill="1" applyBorder="1" applyAlignment="1" applyProtection="1">
      <alignment horizontal="center"/>
      <protection hidden="1"/>
    </xf>
    <xf numFmtId="0" fontId="5" fillId="18" borderId="13" xfId="0" applyFont="1" applyFill="1" applyBorder="1" applyProtection="1">
      <protection hidden="1"/>
    </xf>
    <xf numFmtId="0" fontId="5" fillId="18" borderId="14" xfId="0" applyFont="1" applyFill="1" applyBorder="1" applyProtection="1">
      <protection hidden="1"/>
    </xf>
    <xf numFmtId="0" fontId="5" fillId="18" borderId="15" xfId="0" applyFont="1" applyFill="1" applyBorder="1" applyProtection="1">
      <protection hidden="1"/>
    </xf>
    <xf numFmtId="0" fontId="5" fillId="18" borderId="16" xfId="0" applyFont="1" applyFill="1" applyBorder="1" applyProtection="1">
      <protection hidden="1"/>
    </xf>
    <xf numFmtId="0" fontId="5" fillId="18" borderId="17" xfId="0" applyFont="1" applyFill="1" applyBorder="1" applyAlignment="1" applyProtection="1">
      <alignment horizontal="center"/>
      <protection hidden="1"/>
    </xf>
    <xf numFmtId="0" fontId="5" fillId="19" borderId="13" xfId="0" applyFont="1" applyFill="1" applyBorder="1" applyProtection="1">
      <protection hidden="1"/>
    </xf>
    <xf numFmtId="0" fontId="5" fillId="19" borderId="14" xfId="0" applyFont="1" applyFill="1" applyBorder="1" applyProtection="1">
      <protection hidden="1"/>
    </xf>
    <xf numFmtId="0" fontId="5" fillId="19" borderId="15" xfId="0" applyFont="1" applyFill="1" applyBorder="1" applyProtection="1">
      <protection hidden="1"/>
    </xf>
    <xf numFmtId="0" fontId="5" fillId="19" borderId="16" xfId="0" applyFont="1" applyFill="1" applyBorder="1" applyProtection="1">
      <protection hidden="1"/>
    </xf>
    <xf numFmtId="0" fontId="5" fillId="19" borderId="17" xfId="0" applyFont="1" applyFill="1" applyBorder="1" applyAlignment="1" applyProtection="1">
      <alignment horizontal="center"/>
      <protection hidden="1"/>
    </xf>
    <xf numFmtId="0" fontId="5" fillId="20" borderId="13" xfId="0" applyFont="1" applyFill="1" applyBorder="1" applyProtection="1">
      <protection hidden="1"/>
    </xf>
    <xf numFmtId="0" fontId="5" fillId="20" borderId="14" xfId="0" applyFont="1" applyFill="1" applyBorder="1" applyProtection="1">
      <protection hidden="1"/>
    </xf>
    <xf numFmtId="0" fontId="5" fillId="20" borderId="15" xfId="0" applyFont="1" applyFill="1" applyBorder="1" applyProtection="1">
      <protection hidden="1"/>
    </xf>
    <xf numFmtId="0" fontId="5" fillId="20" borderId="16" xfId="0" applyFont="1" applyFill="1" applyBorder="1" applyProtection="1">
      <protection hidden="1"/>
    </xf>
    <xf numFmtId="0" fontId="5" fillId="20" borderId="17" xfId="0" applyFont="1" applyFill="1" applyBorder="1" applyAlignment="1" applyProtection="1">
      <alignment horizontal="center"/>
      <protection hidden="1"/>
    </xf>
    <xf numFmtId="0" fontId="5" fillId="21" borderId="13" xfId="0" applyFont="1" applyFill="1" applyBorder="1" applyProtection="1">
      <protection hidden="1"/>
    </xf>
    <xf numFmtId="0" fontId="5" fillId="21" borderId="14" xfId="0" applyFont="1" applyFill="1" applyBorder="1" applyProtection="1">
      <protection hidden="1"/>
    </xf>
    <xf numFmtId="0" fontId="5" fillId="21" borderId="15" xfId="0" applyFont="1" applyFill="1" applyBorder="1" applyProtection="1">
      <protection hidden="1"/>
    </xf>
    <xf numFmtId="0" fontId="5" fillId="21" borderId="16" xfId="0" applyFont="1" applyFill="1" applyBorder="1" applyProtection="1">
      <protection hidden="1"/>
    </xf>
    <xf numFmtId="0" fontId="5" fillId="21" borderId="17" xfId="0" applyFont="1" applyFill="1" applyBorder="1" applyAlignment="1" applyProtection="1">
      <alignment horizontal="center"/>
      <protection hidden="1"/>
    </xf>
    <xf numFmtId="0" fontId="5" fillId="22" borderId="13" xfId="0" applyFont="1" applyFill="1" applyBorder="1" applyProtection="1">
      <protection hidden="1"/>
    </xf>
    <xf numFmtId="0" fontId="5" fillId="22" borderId="14" xfId="0" applyFont="1" applyFill="1" applyBorder="1" applyProtection="1">
      <protection hidden="1"/>
    </xf>
    <xf numFmtId="0" fontId="5" fillId="22" borderId="15" xfId="0" applyFont="1" applyFill="1" applyBorder="1" applyProtection="1">
      <protection hidden="1"/>
    </xf>
    <xf numFmtId="0" fontId="5" fillId="22" borderId="16" xfId="0" applyFont="1" applyFill="1" applyBorder="1" applyProtection="1">
      <protection hidden="1"/>
    </xf>
    <xf numFmtId="0" fontId="5" fillId="22" borderId="17" xfId="0" applyFont="1" applyFill="1" applyBorder="1" applyAlignment="1" applyProtection="1">
      <alignment horizontal="center"/>
      <protection hidden="1"/>
    </xf>
    <xf numFmtId="0" fontId="5" fillId="23" borderId="4" xfId="0" applyFont="1" applyFill="1" applyBorder="1" applyProtection="1">
      <protection hidden="1"/>
    </xf>
    <xf numFmtId="0" fontId="5" fillId="23" borderId="5" xfId="0" applyFont="1" applyFill="1" applyBorder="1" applyProtection="1">
      <protection hidden="1"/>
    </xf>
    <xf numFmtId="0" fontId="5" fillId="23" borderId="18" xfId="0" applyFont="1" applyFill="1" applyBorder="1" applyProtection="1">
      <protection hidden="1"/>
    </xf>
    <xf numFmtId="0" fontId="5" fillId="23" borderId="6" xfId="0" applyFont="1" applyFill="1" applyBorder="1" applyProtection="1">
      <protection hidden="1"/>
    </xf>
    <xf numFmtId="0" fontId="5" fillId="23" borderId="19" xfId="0" applyFont="1" applyFill="1" applyBorder="1" applyAlignment="1" applyProtection="1">
      <alignment horizontal="center"/>
      <protection hidden="1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12" xfId="0" applyBorder="1" applyAlignment="1" applyProtection="1">
      <alignment horizontal="center" vertical="center"/>
      <protection hidden="1"/>
    </xf>
    <xf numFmtId="0" fontId="7" fillId="24" borderId="19" xfId="0" applyFont="1" applyFill="1" applyBorder="1" applyProtection="1">
      <protection locked="0"/>
    </xf>
    <xf numFmtId="0" fontId="4" fillId="0" borderId="7" xfId="0" applyFont="1" applyBorder="1" applyAlignment="1" applyProtection="1">
      <alignment horizontal="center" vertical="center"/>
      <protection hidden="1"/>
    </xf>
    <xf numFmtId="0" fontId="4" fillId="0" borderId="8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10" xfId="0" applyFont="1" applyBorder="1" applyAlignment="1" applyProtection="1">
      <alignment horizontal="center" vertical="center"/>
      <protection hidden="1"/>
    </xf>
  </cellXfs>
  <cellStyles count="1">
    <cellStyle name="Standard" xfId="0" builtinId="0"/>
  </cellStyles>
  <dxfs count="28">
    <dxf>
      <protection locked="1" hidden="1"/>
    </dxf>
    <dxf>
      <protection locked="1" hidden="1"/>
    </dxf>
    <dxf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protection locked="1" hidden="1"/>
    </dxf>
    <dxf>
      <protection locked="1" hidden="1"/>
    </dxf>
    <dxf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protection locked="1" hidden="1"/>
    </dxf>
    <dxf>
      <protection locked="1" hidden="1"/>
    </dxf>
    <dxf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protection locked="1" hidden="1"/>
    </dxf>
    <dxf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ansch" displayName="Flansch" ref="N2:U266" totalsRowShown="0" headerRowDxfId="27" dataDxfId="26">
  <autoFilter ref="N2:U266" xr:uid="{00000000-0009-0000-0100-000001000000}"/>
  <tableColumns count="8">
    <tableColumn id="1" xr3:uid="{00000000-0010-0000-0000-000001000000}" name="Art" dataDxfId="25"/>
    <tableColumn id="2" xr3:uid="{00000000-0010-0000-0000-000002000000}" name="DN" dataDxfId="24"/>
    <tableColumn id="3" xr3:uid="{00000000-0010-0000-0000-000003000000}" name="PN" dataDxfId="23"/>
    <tableColumn id="4" xr3:uid="{00000000-0010-0000-0000-000004000000}" name="Anzahl Schrauben" dataDxfId="22"/>
    <tableColumn id="5" xr3:uid="{00000000-0010-0000-0000-000005000000}" name="Gewinde" dataDxfId="21"/>
    <tableColumn id="6" xr3:uid="{00000000-0010-0000-0000-000006000000}" name="Höhe" dataDxfId="20"/>
    <tableColumn id="7" xr3:uid="{00000000-0010-0000-0000-000007000000}" name="Nut / Rücksprung f2" dataDxfId="19"/>
    <tableColumn id="8" xr3:uid="{00000000-0010-0000-0000-000008000000}" name="Bund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be" displayName="Probe" ref="W2:Z266" totalsRowShown="0" headerRowDxfId="17" dataDxfId="16">
  <autoFilter ref="W2:Z266" xr:uid="{00000000-0009-0000-0100-000002000000}"/>
  <tableColumns count="4">
    <tableColumn id="1" xr3:uid="{00000000-0010-0000-0100-000001000000}" name="Art" dataDxfId="15">
      <calculatedColumnFormula>IF(N3=Schraubenlänge!$B$3,1,0)</calculatedColumnFormula>
    </tableColumn>
    <tableColumn id="2" xr3:uid="{00000000-0010-0000-0100-000002000000}" name="DN" dataDxfId="14">
      <calculatedColumnFormula>IF(O3=Schraubenlänge!$C$3,1,0)</calculatedColumnFormula>
    </tableColumn>
    <tableColumn id="3" xr3:uid="{00000000-0010-0000-0100-000003000000}" name="PN" dataDxfId="13">
      <calculatedColumnFormula>IF(P3=Schraubenlänge!$D$3,1,0)</calculatedColumnFormula>
    </tableColumn>
    <tableColumn id="4" xr3:uid="{00000000-0010-0000-0100-000004000000}" name="Prüfung" dataDxfId="12">
      <calculatedColumnFormula>W3*X3*Y3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eigung" displayName="Steigung" ref="AB2:AC33" totalsRowShown="0" headerRowDxfId="11" dataDxfId="10">
  <autoFilter ref="AB2:AC33" xr:uid="{00000000-0009-0000-0100-000003000000}"/>
  <tableColumns count="2">
    <tableColumn id="1" xr3:uid="{00000000-0010-0000-0200-000001000000}" name="Gewinde" dataDxfId="9"/>
    <tableColumn id="2" xr3:uid="{00000000-0010-0000-0200-000002000000}" name="Steigung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utter" displayName="Mutter" ref="AE2:AF33" totalsRowShown="0" headerRowDxfId="7" dataDxfId="6">
  <autoFilter ref="AE2:AF33" xr:uid="{00000000-0009-0000-0100-000004000000}"/>
  <tableColumns count="2">
    <tableColumn id="1" xr3:uid="{00000000-0010-0000-0300-000001000000}" name="Mutter" dataDxfId="5"/>
    <tableColumn id="2" xr3:uid="{00000000-0010-0000-0300-000002000000}" name="Höhe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cheibe" displayName="Scheibe" ref="AH2:AI33" totalsRowShown="0" headerRowDxfId="3" dataDxfId="2">
  <autoFilter ref="AH2:AI33" xr:uid="{00000000-0009-0000-0100-000005000000}"/>
  <tableColumns count="2">
    <tableColumn id="1" xr3:uid="{00000000-0010-0000-0400-000001000000}" name="Scheibe" dataDxfId="1"/>
    <tableColumn id="2" xr3:uid="{00000000-0010-0000-0400-000002000000}" name="Höh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K266"/>
  <sheetViews>
    <sheetView tabSelected="1" zoomScale="115" zoomScaleNormal="115" workbookViewId="0">
      <selection activeCell="J7" sqref="J7"/>
    </sheetView>
  </sheetViews>
  <sheetFormatPr baseColWidth="10" defaultColWidth="10.7109375" defaultRowHeight="15" x14ac:dyDescent="0.25"/>
  <cols>
    <col min="1" max="1" width="1" style="1" customWidth="1"/>
    <col min="2" max="2" width="17.85546875" style="1" bestFit="1" customWidth="1"/>
    <col min="3" max="3" width="10.7109375" style="1"/>
    <col min="4" max="4" width="16.5703125" style="1" customWidth="1"/>
    <col min="5" max="5" width="10.7109375" style="1"/>
    <col min="6" max="6" width="15.42578125" style="1" bestFit="1" customWidth="1"/>
    <col min="7" max="7" width="5.85546875" style="1" customWidth="1"/>
    <col min="8" max="8" width="10.140625" style="1" customWidth="1"/>
    <col min="9" max="12" width="10.7109375" style="1"/>
    <col min="13" max="13" width="2.5703125" style="1" customWidth="1"/>
    <col min="14" max="14" width="19.42578125" style="1" customWidth="1"/>
    <col min="15" max="16" width="10.7109375" style="1" customWidth="1"/>
    <col min="17" max="17" width="17.85546875" style="1" customWidth="1"/>
    <col min="18" max="19" width="10.7109375" style="1" customWidth="1"/>
    <col min="20" max="20" width="14.5703125" style="1" customWidth="1"/>
    <col min="21" max="21" width="10.28515625" style="1" customWidth="1"/>
    <col min="22" max="22" width="2.5703125" style="1" customWidth="1"/>
    <col min="23" max="26" width="10.7109375" style="1" customWidth="1"/>
    <col min="27" max="27" width="2.5703125" style="1" customWidth="1"/>
    <col min="28" max="29" width="10.7109375" style="1" customWidth="1"/>
    <col min="30" max="30" width="2.85546875" style="1" customWidth="1"/>
    <col min="31" max="32" width="10.7109375" style="1" customWidth="1"/>
    <col min="33" max="33" width="2.5703125" style="1" customWidth="1"/>
    <col min="34" max="35" width="10.7109375" style="1" customWidth="1"/>
    <col min="36" max="36" width="2.42578125" style="1" customWidth="1"/>
    <col min="37" max="37" width="20.85546875" style="1" customWidth="1"/>
    <col min="38" max="16384" width="10.7109375" style="1"/>
  </cols>
  <sheetData>
    <row r="1" spans="2:37" ht="4.5" customHeight="1" thickBot="1" x14ac:dyDescent="0.3"/>
    <row r="2" spans="2:37" ht="30" x14ac:dyDescent="0.25">
      <c r="B2" s="2" t="s">
        <v>15</v>
      </c>
      <c r="C2" s="3" t="s">
        <v>1</v>
      </c>
      <c r="D2" s="3" t="s">
        <v>0</v>
      </c>
      <c r="E2" s="4" t="s">
        <v>44</v>
      </c>
      <c r="F2" s="5" t="s">
        <v>45</v>
      </c>
      <c r="G2" s="6" t="s">
        <v>57</v>
      </c>
      <c r="H2" s="7" t="s">
        <v>46</v>
      </c>
      <c r="J2" s="122" t="s">
        <v>58</v>
      </c>
      <c r="N2" s="8" t="s">
        <v>15</v>
      </c>
      <c r="O2" s="8" t="s">
        <v>1</v>
      </c>
      <c r="P2" s="8" t="s">
        <v>0</v>
      </c>
      <c r="Q2" s="9" t="s">
        <v>3</v>
      </c>
      <c r="R2" s="8" t="s">
        <v>4</v>
      </c>
      <c r="S2" s="8" t="s">
        <v>2</v>
      </c>
      <c r="T2" s="9" t="s">
        <v>50</v>
      </c>
      <c r="U2" s="10" t="s">
        <v>53</v>
      </c>
      <c r="V2" s="9"/>
      <c r="W2" s="8" t="s">
        <v>15</v>
      </c>
      <c r="X2" s="8" t="s">
        <v>1</v>
      </c>
      <c r="Y2" s="8" t="s">
        <v>0</v>
      </c>
      <c r="Z2" s="9" t="s">
        <v>43</v>
      </c>
      <c r="AA2" s="9"/>
      <c r="AB2" s="8" t="s">
        <v>4</v>
      </c>
      <c r="AC2" s="8" t="s">
        <v>16</v>
      </c>
      <c r="AE2" s="8" t="s">
        <v>12</v>
      </c>
      <c r="AF2" s="8" t="s">
        <v>2</v>
      </c>
      <c r="AH2" s="8" t="s">
        <v>13</v>
      </c>
      <c r="AI2" s="8" t="s">
        <v>2</v>
      </c>
      <c r="AK2" s="8" t="s">
        <v>15</v>
      </c>
    </row>
    <row r="3" spans="2:37" ht="15.75" thickBot="1" x14ac:dyDescent="0.3">
      <c r="B3" s="119" t="s">
        <v>14</v>
      </c>
      <c r="C3" s="120">
        <v>150</v>
      </c>
      <c r="D3" s="120">
        <v>40</v>
      </c>
      <c r="E3" s="120">
        <v>2</v>
      </c>
      <c r="F3" s="120">
        <v>3</v>
      </c>
      <c r="G3" s="120"/>
      <c r="H3" s="121"/>
      <c r="J3" s="123">
        <v>6165</v>
      </c>
      <c r="N3" s="1" t="s">
        <v>14</v>
      </c>
      <c r="O3" s="11">
        <v>10</v>
      </c>
      <c r="P3" s="11">
        <v>10</v>
      </c>
      <c r="Q3" s="11">
        <v>4</v>
      </c>
      <c r="R3" s="11" t="s">
        <v>9</v>
      </c>
      <c r="S3" s="11">
        <v>14</v>
      </c>
      <c r="T3" s="11">
        <v>0</v>
      </c>
      <c r="U3" s="11">
        <v>0</v>
      </c>
      <c r="W3" s="1">
        <f>IF(N3=Schraubenlänge!$B$3,1,0)</f>
        <v>1</v>
      </c>
      <c r="X3" s="1">
        <f>IF(O3=Schraubenlänge!$C$3,1,0)</f>
        <v>0</v>
      </c>
      <c r="Y3" s="1">
        <f>IF(P3=Schraubenlänge!$D$3,1,0)</f>
        <v>0</v>
      </c>
      <c r="Z3" s="1">
        <f>W3*X3*Y3</f>
        <v>0</v>
      </c>
      <c r="AB3" s="1" t="s">
        <v>17</v>
      </c>
      <c r="AC3" s="1">
        <v>0.25</v>
      </c>
      <c r="AE3" s="1" t="s">
        <v>17</v>
      </c>
      <c r="AF3" s="1">
        <v>0.8</v>
      </c>
      <c r="AH3" s="1" t="s">
        <v>17</v>
      </c>
      <c r="AI3" s="1">
        <v>0.3</v>
      </c>
      <c r="AK3" s="1" t="s">
        <v>14</v>
      </c>
    </row>
    <row r="4" spans="2:37" ht="15.75" thickBot="1" x14ac:dyDescent="0.3">
      <c r="N4" s="1" t="s">
        <v>14</v>
      </c>
      <c r="O4" s="11">
        <v>15</v>
      </c>
      <c r="P4" s="11">
        <v>10</v>
      </c>
      <c r="Q4" s="11">
        <v>4</v>
      </c>
      <c r="R4" s="11" t="s">
        <v>9</v>
      </c>
      <c r="S4" s="11">
        <v>14</v>
      </c>
      <c r="T4" s="11">
        <v>0</v>
      </c>
      <c r="U4" s="11">
        <v>0</v>
      </c>
      <c r="W4" s="1">
        <f>IF(N4=Schraubenlänge!$B$3,1,0)</f>
        <v>1</v>
      </c>
      <c r="X4" s="1">
        <f>IF(O4=Schraubenlänge!$C$3,1,0)</f>
        <v>0</v>
      </c>
      <c r="Y4" s="1">
        <f>IF(P4=Schraubenlänge!$D$3,1,0)</f>
        <v>0</v>
      </c>
      <c r="Z4" s="1">
        <f t="shared" ref="Z4:Z67" si="0">W4*X4*Y4</f>
        <v>0</v>
      </c>
      <c r="AB4" s="1" t="s">
        <v>18</v>
      </c>
      <c r="AC4" s="1">
        <v>0.25</v>
      </c>
      <c r="AE4" s="1" t="s">
        <v>18</v>
      </c>
      <c r="AH4" s="1" t="s">
        <v>18</v>
      </c>
      <c r="AI4" s="1">
        <v>0.3</v>
      </c>
      <c r="AK4" s="1" t="s">
        <v>49</v>
      </c>
    </row>
    <row r="5" spans="2:37" x14ac:dyDescent="0.25">
      <c r="B5" s="12" t="s">
        <v>41</v>
      </c>
      <c r="C5" s="13" t="s">
        <v>42</v>
      </c>
      <c r="D5" s="14" t="s">
        <v>3</v>
      </c>
      <c r="E5" s="124" t="s">
        <v>47</v>
      </c>
      <c r="F5" s="125"/>
      <c r="N5" s="1" t="s">
        <v>14</v>
      </c>
      <c r="O5" s="11">
        <v>20</v>
      </c>
      <c r="P5" s="11">
        <v>10</v>
      </c>
      <c r="Q5" s="11">
        <v>4</v>
      </c>
      <c r="R5" s="11" t="s">
        <v>9</v>
      </c>
      <c r="S5" s="11">
        <v>16</v>
      </c>
      <c r="T5" s="11">
        <v>0</v>
      </c>
      <c r="U5" s="11">
        <v>0</v>
      </c>
      <c r="W5" s="1">
        <f>IF(N5=Schraubenlänge!$B$3,1,0)</f>
        <v>1</v>
      </c>
      <c r="X5" s="1">
        <f>IF(O5=Schraubenlänge!$C$3,1,0)</f>
        <v>0</v>
      </c>
      <c r="Y5" s="1">
        <f>IF(P5=Schraubenlänge!$D$3,1,0)</f>
        <v>0</v>
      </c>
      <c r="Z5" s="1">
        <f t="shared" si="0"/>
        <v>0</v>
      </c>
      <c r="AB5" s="1" t="s">
        <v>19</v>
      </c>
      <c r="AC5" s="1">
        <v>0.25</v>
      </c>
      <c r="AE5" s="1" t="s">
        <v>19</v>
      </c>
      <c r="AF5" s="1">
        <v>1</v>
      </c>
      <c r="AH5" s="1" t="s">
        <v>19</v>
      </c>
      <c r="AI5" s="1">
        <v>0.3</v>
      </c>
      <c r="AK5" s="1" t="s">
        <v>51</v>
      </c>
    </row>
    <row r="6" spans="2:37" ht="15.75" thickBot="1" x14ac:dyDescent="0.3">
      <c r="B6" s="15" t="str">
        <f>IF(J3=6165,INDEX(Flansch[],MATCH(1,Probe[Prüfung],0),5),"")</f>
        <v>M24</v>
      </c>
      <c r="C6" s="16">
        <f>((INDEX(Flansch[],MATCH(1,Probe[Prüfung],0),6)*2)+(INDEX(Steigung[],MATCH(B6,Steigung[Gewinde],0),2)*F3)+(INDEX(Mutter[],MATCH(B6,Mutter[Mutter],0),2))+(INDEX(Scheibe[],MATCH(B6,Scheibe[Scheibe],0),2))+E3+H3)-(INDEX(Flansch[],MATCH(1,Probe[Prüfung],0),7))+(INDEX(Flansch[],MATCH(1,Probe[Prüfung],0),8)*2)</f>
        <v>92.5</v>
      </c>
      <c r="D6" s="17">
        <f>IF(J3=6165,INDEX(Flansch[],MATCH(1,Probe[Prüfung],0),4),"")</f>
        <v>8</v>
      </c>
      <c r="E6" s="126"/>
      <c r="F6" s="127"/>
      <c r="N6" s="1" t="s">
        <v>14</v>
      </c>
      <c r="O6" s="11">
        <v>25</v>
      </c>
      <c r="P6" s="11">
        <v>10</v>
      </c>
      <c r="Q6" s="11">
        <v>4</v>
      </c>
      <c r="R6" s="11" t="s">
        <v>9</v>
      </c>
      <c r="S6" s="11">
        <v>16</v>
      </c>
      <c r="T6" s="11">
        <v>0</v>
      </c>
      <c r="U6" s="11">
        <v>0</v>
      </c>
      <c r="W6" s="1">
        <f>IF(N6=Schraubenlänge!$B$3,1,0)</f>
        <v>1</v>
      </c>
      <c r="X6" s="1">
        <f>IF(O6=Schraubenlänge!$C$3,1,0)</f>
        <v>0</v>
      </c>
      <c r="Y6" s="1">
        <f>IF(P6=Schraubenlänge!$D$3,1,0)</f>
        <v>0</v>
      </c>
      <c r="Z6" s="1">
        <f t="shared" si="0"/>
        <v>0</v>
      </c>
      <c r="AB6" s="1" t="s">
        <v>20</v>
      </c>
      <c r="AC6" s="1">
        <v>0.3</v>
      </c>
      <c r="AE6" s="1" t="s">
        <v>20</v>
      </c>
      <c r="AF6" s="1">
        <v>1.2</v>
      </c>
      <c r="AH6" s="1" t="s">
        <v>20</v>
      </c>
      <c r="AI6" s="1">
        <v>0.3</v>
      </c>
      <c r="AK6" s="1" t="s">
        <v>52</v>
      </c>
    </row>
    <row r="7" spans="2:37" ht="15.75" thickBot="1" x14ac:dyDescent="0.3">
      <c r="N7" s="1" t="s">
        <v>14</v>
      </c>
      <c r="O7" s="11">
        <v>32</v>
      </c>
      <c r="P7" s="11">
        <v>10</v>
      </c>
      <c r="Q7" s="11">
        <v>4</v>
      </c>
      <c r="R7" s="11" t="s">
        <v>10</v>
      </c>
      <c r="S7" s="11">
        <v>16</v>
      </c>
      <c r="T7" s="11">
        <v>0</v>
      </c>
      <c r="U7" s="11">
        <v>0</v>
      </c>
      <c r="W7" s="1">
        <f>IF(N7=Schraubenlänge!$B$3,1,0)</f>
        <v>1</v>
      </c>
      <c r="X7" s="1">
        <f>IF(O7=Schraubenlänge!$C$3,1,0)</f>
        <v>0</v>
      </c>
      <c r="Y7" s="1">
        <f>IF(P7=Schraubenlänge!$D$3,1,0)</f>
        <v>0</v>
      </c>
      <c r="Z7" s="1">
        <f t="shared" si="0"/>
        <v>0</v>
      </c>
      <c r="AB7" s="1" t="s">
        <v>21</v>
      </c>
      <c r="AC7" s="1">
        <v>0.35</v>
      </c>
      <c r="AE7" s="1" t="s">
        <v>21</v>
      </c>
      <c r="AF7" s="1">
        <v>1.3</v>
      </c>
      <c r="AH7" s="1" t="s">
        <v>21</v>
      </c>
      <c r="AI7" s="1">
        <v>0.3</v>
      </c>
    </row>
    <row r="8" spans="2:37" x14ac:dyDescent="0.25">
      <c r="B8" s="12" t="s">
        <v>41</v>
      </c>
      <c r="C8" s="13" t="s">
        <v>42</v>
      </c>
      <c r="D8" s="14" t="s">
        <v>3</v>
      </c>
      <c r="E8" s="124" t="s">
        <v>48</v>
      </c>
      <c r="F8" s="125"/>
      <c r="N8" s="1" t="s">
        <v>14</v>
      </c>
      <c r="O8" s="11">
        <v>40</v>
      </c>
      <c r="P8" s="11">
        <v>10</v>
      </c>
      <c r="Q8" s="11">
        <v>4</v>
      </c>
      <c r="R8" s="11" t="s">
        <v>10</v>
      </c>
      <c r="S8" s="11">
        <v>16</v>
      </c>
      <c r="T8" s="11">
        <v>0</v>
      </c>
      <c r="U8" s="11">
        <v>0</v>
      </c>
      <c r="W8" s="1">
        <f>IF(N8=Schraubenlänge!$B$3,1,0)</f>
        <v>1</v>
      </c>
      <c r="X8" s="1">
        <f>IF(O8=Schraubenlänge!$C$3,1,0)</f>
        <v>0</v>
      </c>
      <c r="Y8" s="1">
        <f>IF(P8=Schraubenlänge!$D$3,1,0)</f>
        <v>0</v>
      </c>
      <c r="Z8" s="1">
        <f t="shared" si="0"/>
        <v>0</v>
      </c>
      <c r="AB8" s="1" t="s">
        <v>22</v>
      </c>
      <c r="AC8" s="1">
        <v>0.35</v>
      </c>
      <c r="AE8" s="1" t="s">
        <v>22</v>
      </c>
      <c r="AF8" s="1">
        <v>1.4</v>
      </c>
      <c r="AH8" s="1" t="s">
        <v>22</v>
      </c>
      <c r="AI8" s="1">
        <v>0.3</v>
      </c>
    </row>
    <row r="9" spans="2:37" ht="15.75" thickBot="1" x14ac:dyDescent="0.3">
      <c r="B9" s="15" t="str">
        <f>IF(J3=6165,INDEX(Flansch[],MATCH(1,Probe[Prüfung],0),5),"")</f>
        <v>M24</v>
      </c>
      <c r="C9" s="16">
        <f>(INDEX(Flansch[],MATCH(1,Probe[Prüfung],0),6)*2)+((INDEX(Steigung[],MATCH(B6,Steigung[Gewinde],0),2)*F3)*2)+(INDEX(Mutter[],MATCH(B6,Mutter[Mutter],0),2)*2)+(INDEX(Scheibe[],MATCH(B6,Scheibe[Scheibe],0),2)*2)+E3+(H3*2)-(INDEX(Flansch[],MATCH(1,Probe[Prüfung],0),7))+(INDEX(Flansch[],MATCH(1,Probe[Prüfung],0),8)*2)</f>
        <v>127</v>
      </c>
      <c r="D9" s="17">
        <f>IF(J3=6165,INDEX(Flansch[],MATCH(1,Probe[Prüfung],0),4),"")</f>
        <v>8</v>
      </c>
      <c r="E9" s="126"/>
      <c r="F9" s="127"/>
      <c r="N9" s="1" t="s">
        <v>14</v>
      </c>
      <c r="O9" s="11">
        <v>50</v>
      </c>
      <c r="P9" s="11">
        <v>10</v>
      </c>
      <c r="Q9" s="11">
        <v>4</v>
      </c>
      <c r="R9" s="11" t="s">
        <v>10</v>
      </c>
      <c r="S9" s="11">
        <v>18</v>
      </c>
      <c r="T9" s="11">
        <v>0</v>
      </c>
      <c r="U9" s="11">
        <v>0</v>
      </c>
      <c r="W9" s="1">
        <f>IF(N9=Schraubenlänge!$B$3,1,0)</f>
        <v>1</v>
      </c>
      <c r="X9" s="1">
        <f>IF(O9=Schraubenlänge!$C$3,1,0)</f>
        <v>0</v>
      </c>
      <c r="Y9" s="1">
        <f>IF(P9=Schraubenlänge!$D$3,1,0)</f>
        <v>0</v>
      </c>
      <c r="Z9" s="1">
        <f t="shared" si="0"/>
        <v>0</v>
      </c>
      <c r="AB9" s="1" t="s">
        <v>23</v>
      </c>
      <c r="AC9" s="1">
        <v>0.4</v>
      </c>
      <c r="AE9" s="1" t="s">
        <v>23</v>
      </c>
      <c r="AF9" s="1">
        <v>1.6</v>
      </c>
      <c r="AH9" s="1" t="s">
        <v>23</v>
      </c>
      <c r="AI9" s="1">
        <v>0.3</v>
      </c>
    </row>
    <row r="10" spans="2:37" x14ac:dyDescent="0.25">
      <c r="N10" s="1" t="s">
        <v>14</v>
      </c>
      <c r="O10" s="11">
        <v>65</v>
      </c>
      <c r="P10" s="11">
        <v>10</v>
      </c>
      <c r="Q10" s="11">
        <v>4</v>
      </c>
      <c r="R10" s="11" t="s">
        <v>10</v>
      </c>
      <c r="S10" s="11">
        <v>18</v>
      </c>
      <c r="T10" s="11">
        <v>0</v>
      </c>
      <c r="U10" s="11">
        <v>0</v>
      </c>
      <c r="W10" s="1">
        <f>IF(N10=Schraubenlänge!$B$3,1,0)</f>
        <v>1</v>
      </c>
      <c r="X10" s="1">
        <f>IF(O10=Schraubenlänge!$C$3,1,0)</f>
        <v>0</v>
      </c>
      <c r="Y10" s="1">
        <f>IF(P10=Schraubenlänge!$D$3,1,0)</f>
        <v>0</v>
      </c>
      <c r="Z10" s="1">
        <f t="shared" si="0"/>
        <v>0</v>
      </c>
      <c r="AB10" s="1" t="s">
        <v>24</v>
      </c>
      <c r="AC10" s="1">
        <v>0.45</v>
      </c>
      <c r="AE10" s="1" t="s">
        <v>24</v>
      </c>
      <c r="AH10" s="1" t="s">
        <v>24</v>
      </c>
      <c r="AI10" s="1">
        <v>0.5</v>
      </c>
    </row>
    <row r="11" spans="2:37" x14ac:dyDescent="0.25">
      <c r="N11" s="1" t="s">
        <v>14</v>
      </c>
      <c r="O11" s="11">
        <v>80</v>
      </c>
      <c r="P11" s="11">
        <v>10</v>
      </c>
      <c r="Q11" s="11">
        <v>8</v>
      </c>
      <c r="R11" s="11" t="s">
        <v>10</v>
      </c>
      <c r="S11" s="11">
        <v>20</v>
      </c>
      <c r="T11" s="11">
        <v>0</v>
      </c>
      <c r="U11" s="11">
        <v>0</v>
      </c>
      <c r="W11" s="1">
        <f>IF(N11=Schraubenlänge!$B$3,1,0)</f>
        <v>1</v>
      </c>
      <c r="X11" s="1">
        <f>IF(O11=Schraubenlänge!$C$3,1,0)</f>
        <v>0</v>
      </c>
      <c r="Y11" s="1">
        <f>IF(P11=Schraubenlänge!$D$3,1,0)</f>
        <v>0</v>
      </c>
      <c r="Z11" s="1">
        <f t="shared" si="0"/>
        <v>0</v>
      </c>
      <c r="AB11" s="1" t="s">
        <v>25</v>
      </c>
      <c r="AC11" s="1">
        <v>0.45</v>
      </c>
      <c r="AE11" s="1" t="s">
        <v>25</v>
      </c>
      <c r="AF11" s="1">
        <v>2</v>
      </c>
      <c r="AH11" s="1" t="s">
        <v>25</v>
      </c>
      <c r="AI11" s="1">
        <v>0.5</v>
      </c>
    </row>
    <row r="12" spans="2:37" x14ac:dyDescent="0.25">
      <c r="N12" s="1" t="s">
        <v>14</v>
      </c>
      <c r="O12" s="11">
        <v>100</v>
      </c>
      <c r="P12" s="11">
        <v>10</v>
      </c>
      <c r="Q12" s="11">
        <v>8</v>
      </c>
      <c r="R12" s="11" t="s">
        <v>10</v>
      </c>
      <c r="S12" s="11">
        <v>20</v>
      </c>
      <c r="T12" s="11">
        <v>0</v>
      </c>
      <c r="U12" s="11">
        <v>0</v>
      </c>
      <c r="W12" s="1">
        <f>IF(N12=Schraubenlänge!$B$3,1,0)</f>
        <v>1</v>
      </c>
      <c r="X12" s="1">
        <f>IF(O12=Schraubenlänge!$C$3,1,0)</f>
        <v>0</v>
      </c>
      <c r="Y12" s="1">
        <f>IF(P12=Schraubenlänge!$D$3,1,0)</f>
        <v>0</v>
      </c>
      <c r="Z12" s="1">
        <f t="shared" si="0"/>
        <v>0</v>
      </c>
      <c r="AB12" s="1" t="s">
        <v>26</v>
      </c>
      <c r="AC12" s="1">
        <v>0.5</v>
      </c>
      <c r="AE12" s="1" t="s">
        <v>26</v>
      </c>
      <c r="AF12" s="1">
        <v>2.4</v>
      </c>
      <c r="AH12" s="1" t="s">
        <v>26</v>
      </c>
      <c r="AI12" s="1">
        <v>0.5</v>
      </c>
    </row>
    <row r="13" spans="2:37" x14ac:dyDescent="0.25">
      <c r="N13" s="1" t="s">
        <v>14</v>
      </c>
      <c r="O13" s="11">
        <v>125</v>
      </c>
      <c r="P13" s="11">
        <v>10</v>
      </c>
      <c r="Q13" s="11">
        <v>8</v>
      </c>
      <c r="R13" s="11" t="s">
        <v>10</v>
      </c>
      <c r="S13" s="11">
        <v>22</v>
      </c>
      <c r="T13" s="11">
        <v>0</v>
      </c>
      <c r="U13" s="11">
        <v>0</v>
      </c>
      <c r="W13" s="1">
        <f>IF(N13=Schraubenlänge!$B$3,1,0)</f>
        <v>1</v>
      </c>
      <c r="X13" s="1">
        <f>IF(O13=Schraubenlänge!$C$3,1,0)</f>
        <v>0</v>
      </c>
      <c r="Y13" s="1">
        <f>IF(P13=Schraubenlänge!$D$3,1,0)</f>
        <v>0</v>
      </c>
      <c r="Z13" s="1">
        <f t="shared" si="0"/>
        <v>0</v>
      </c>
      <c r="AB13" s="1" t="s">
        <v>27</v>
      </c>
      <c r="AC13" s="1">
        <v>0.6</v>
      </c>
      <c r="AE13" s="1" t="s">
        <v>27</v>
      </c>
      <c r="AF13" s="1">
        <v>2.8</v>
      </c>
      <c r="AH13" s="1" t="s">
        <v>27</v>
      </c>
      <c r="AI13" s="1">
        <v>0.5</v>
      </c>
    </row>
    <row r="14" spans="2:37" x14ac:dyDescent="0.25">
      <c r="N14" s="1" t="s">
        <v>14</v>
      </c>
      <c r="O14" s="11">
        <v>150</v>
      </c>
      <c r="P14" s="11">
        <v>10</v>
      </c>
      <c r="Q14" s="11">
        <v>8</v>
      </c>
      <c r="R14" s="11" t="s">
        <v>5</v>
      </c>
      <c r="S14" s="11">
        <v>22</v>
      </c>
      <c r="T14" s="11">
        <v>0</v>
      </c>
      <c r="U14" s="11">
        <v>0</v>
      </c>
      <c r="W14" s="1">
        <f>IF(N14=Schraubenlänge!$B$3,1,0)</f>
        <v>1</v>
      </c>
      <c r="X14" s="1">
        <f>IF(O14=Schraubenlänge!$C$3,1,0)</f>
        <v>1</v>
      </c>
      <c r="Y14" s="1">
        <f>IF(P14=Schraubenlänge!$D$3,1,0)</f>
        <v>0</v>
      </c>
      <c r="Z14" s="1">
        <f t="shared" si="0"/>
        <v>0</v>
      </c>
      <c r="AB14" s="1" t="s">
        <v>28</v>
      </c>
      <c r="AC14" s="1">
        <v>0.7</v>
      </c>
      <c r="AE14" s="1" t="s">
        <v>28</v>
      </c>
      <c r="AF14" s="1">
        <v>3.2</v>
      </c>
      <c r="AH14" s="1" t="s">
        <v>28</v>
      </c>
      <c r="AI14" s="1">
        <v>0.8</v>
      </c>
    </row>
    <row r="15" spans="2:37" ht="15.75" thickBot="1" x14ac:dyDescent="0.3"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19"/>
      <c r="N15" s="1" t="s">
        <v>14</v>
      </c>
      <c r="O15" s="11">
        <v>200</v>
      </c>
      <c r="P15" s="11">
        <v>10</v>
      </c>
      <c r="Q15" s="11">
        <v>8</v>
      </c>
      <c r="R15" s="11" t="s">
        <v>5</v>
      </c>
      <c r="S15" s="11">
        <v>24</v>
      </c>
      <c r="T15" s="11">
        <v>0</v>
      </c>
      <c r="U15" s="11">
        <v>0</v>
      </c>
      <c r="W15" s="1">
        <f>IF(N15=Schraubenlänge!$B$3,1,0)</f>
        <v>1</v>
      </c>
      <c r="X15" s="1">
        <f>IF(O15=Schraubenlänge!$C$3,1,0)</f>
        <v>0</v>
      </c>
      <c r="Y15" s="1">
        <f>IF(P15=Schraubenlänge!$D$3,1,0)</f>
        <v>0</v>
      </c>
      <c r="Z15" s="1">
        <f t="shared" si="0"/>
        <v>0</v>
      </c>
      <c r="AB15" s="1" t="s">
        <v>29</v>
      </c>
      <c r="AC15" s="1">
        <v>0.8</v>
      </c>
      <c r="AE15" s="1" t="s">
        <v>29</v>
      </c>
      <c r="AF15" s="1">
        <v>4.7</v>
      </c>
      <c r="AH15" s="1" t="s">
        <v>29</v>
      </c>
      <c r="AI15" s="1">
        <v>1</v>
      </c>
    </row>
    <row r="16" spans="2:37" x14ac:dyDescent="0.25">
      <c r="B16" s="20"/>
      <c r="C16" s="21"/>
      <c r="D16" s="21"/>
      <c r="E16" s="22"/>
      <c r="F16" s="23"/>
      <c r="G16" s="24"/>
      <c r="H16" s="25"/>
      <c r="I16" s="26"/>
      <c r="J16" s="27"/>
      <c r="K16" s="28"/>
      <c r="L16" s="29"/>
      <c r="N16" s="1" t="s">
        <v>14</v>
      </c>
      <c r="O16" s="11">
        <v>250</v>
      </c>
      <c r="P16" s="11">
        <v>10</v>
      </c>
      <c r="Q16" s="11">
        <v>12</v>
      </c>
      <c r="R16" s="11" t="s">
        <v>5</v>
      </c>
      <c r="S16" s="11">
        <v>26</v>
      </c>
      <c r="T16" s="11">
        <v>0</v>
      </c>
      <c r="U16" s="11">
        <v>0</v>
      </c>
      <c r="W16" s="1">
        <f>IF(N16=Schraubenlänge!$B$3,1,0)</f>
        <v>1</v>
      </c>
      <c r="X16" s="1">
        <f>IF(O16=Schraubenlänge!$C$3,1,0)</f>
        <v>0</v>
      </c>
      <c r="Y16" s="1">
        <f>IF(P16=Schraubenlänge!$D$3,1,0)</f>
        <v>0</v>
      </c>
      <c r="Z16" s="1">
        <f t="shared" si="0"/>
        <v>0</v>
      </c>
      <c r="AB16" s="1" t="s">
        <v>30</v>
      </c>
      <c r="AC16" s="1">
        <v>1</v>
      </c>
      <c r="AE16" s="1" t="s">
        <v>30</v>
      </c>
      <c r="AF16" s="1">
        <v>5.2</v>
      </c>
      <c r="AH16" s="1" t="s">
        <v>30</v>
      </c>
      <c r="AI16" s="1">
        <v>1.6</v>
      </c>
    </row>
    <row r="17" spans="2:35" x14ac:dyDescent="0.25">
      <c r="B17" s="30"/>
      <c r="C17" s="31"/>
      <c r="D17" s="31"/>
      <c r="E17" s="32"/>
      <c r="F17" s="33"/>
      <c r="G17" s="34"/>
      <c r="H17" s="35"/>
      <c r="I17" s="36"/>
      <c r="J17" s="37"/>
      <c r="K17" s="38"/>
      <c r="L17" s="39"/>
      <c r="N17" s="1" t="s">
        <v>14</v>
      </c>
      <c r="O17" s="11">
        <v>300</v>
      </c>
      <c r="P17" s="11">
        <v>10</v>
      </c>
      <c r="Q17" s="11">
        <v>12</v>
      </c>
      <c r="R17" s="11" t="s">
        <v>5</v>
      </c>
      <c r="S17" s="11">
        <v>26</v>
      </c>
      <c r="T17" s="11">
        <v>0</v>
      </c>
      <c r="U17" s="11">
        <v>0</v>
      </c>
      <c r="W17" s="1">
        <f>IF(N17=Schraubenlänge!$B$3,1,0)</f>
        <v>1</v>
      </c>
      <c r="X17" s="1">
        <f>IF(O17=Schraubenlänge!$C$3,1,0)</f>
        <v>0</v>
      </c>
      <c r="Y17" s="1">
        <f>IF(P17=Schraubenlänge!$D$3,1,0)</f>
        <v>0</v>
      </c>
      <c r="Z17" s="1">
        <f t="shared" si="0"/>
        <v>0</v>
      </c>
      <c r="AB17" s="1" t="s">
        <v>31</v>
      </c>
      <c r="AC17" s="1">
        <v>1.25</v>
      </c>
      <c r="AE17" s="1" t="s">
        <v>31</v>
      </c>
      <c r="AF17" s="1">
        <v>6.8</v>
      </c>
      <c r="AH17" s="1" t="s">
        <v>31</v>
      </c>
      <c r="AI17" s="1">
        <v>1.6</v>
      </c>
    </row>
    <row r="18" spans="2:35" x14ac:dyDescent="0.25">
      <c r="B18" s="30"/>
      <c r="C18" s="31"/>
      <c r="D18" s="31"/>
      <c r="E18" s="32"/>
      <c r="F18" s="33"/>
      <c r="G18" s="34"/>
      <c r="H18" s="35"/>
      <c r="I18" s="36"/>
      <c r="J18" s="37"/>
      <c r="K18" s="38"/>
      <c r="L18" s="39"/>
      <c r="N18" s="1" t="s">
        <v>14</v>
      </c>
      <c r="O18" s="11">
        <v>350</v>
      </c>
      <c r="P18" s="11">
        <v>10</v>
      </c>
      <c r="Q18" s="11">
        <v>16</v>
      </c>
      <c r="R18" s="11" t="s">
        <v>5</v>
      </c>
      <c r="S18" s="11">
        <v>26</v>
      </c>
      <c r="T18" s="11">
        <v>0</v>
      </c>
      <c r="U18" s="11">
        <v>0</v>
      </c>
      <c r="W18" s="1">
        <f>IF(N18=Schraubenlänge!$B$3,1,0)</f>
        <v>1</v>
      </c>
      <c r="X18" s="1">
        <f>IF(O18=Schraubenlänge!$C$3,1,0)</f>
        <v>0</v>
      </c>
      <c r="Y18" s="1">
        <f>IF(P18=Schraubenlänge!$D$3,1,0)</f>
        <v>0</v>
      </c>
      <c r="Z18" s="1">
        <f t="shared" si="0"/>
        <v>0</v>
      </c>
      <c r="AB18" s="1" t="s">
        <v>32</v>
      </c>
      <c r="AC18" s="1">
        <v>1.5</v>
      </c>
      <c r="AE18" s="1" t="s">
        <v>32</v>
      </c>
      <c r="AF18" s="1">
        <v>8.4</v>
      </c>
      <c r="AH18" s="1" t="s">
        <v>32</v>
      </c>
      <c r="AI18" s="1">
        <v>2</v>
      </c>
    </row>
    <row r="19" spans="2:35" x14ac:dyDescent="0.25">
      <c r="B19" s="40"/>
      <c r="C19" s="41"/>
      <c r="D19" s="41"/>
      <c r="E19" s="42"/>
      <c r="F19" s="40"/>
      <c r="G19" s="41"/>
      <c r="H19" s="43"/>
      <c r="I19" s="40"/>
      <c r="J19" s="41"/>
      <c r="K19" s="42"/>
      <c r="L19" s="44"/>
      <c r="N19" s="1" t="s">
        <v>14</v>
      </c>
      <c r="O19" s="11">
        <v>400</v>
      </c>
      <c r="P19" s="11">
        <v>10</v>
      </c>
      <c r="Q19" s="11">
        <v>16</v>
      </c>
      <c r="R19" s="11" t="s">
        <v>7</v>
      </c>
      <c r="S19" s="11">
        <v>26</v>
      </c>
      <c r="T19" s="11">
        <v>0</v>
      </c>
      <c r="U19" s="11">
        <v>0</v>
      </c>
      <c r="W19" s="1">
        <f>IF(N19=Schraubenlänge!$B$3,1,0)</f>
        <v>1</v>
      </c>
      <c r="X19" s="1">
        <f>IF(O19=Schraubenlänge!$C$3,1,0)</f>
        <v>0</v>
      </c>
      <c r="Y19" s="1">
        <f>IF(P19=Schraubenlänge!$D$3,1,0)</f>
        <v>0</v>
      </c>
      <c r="Z19" s="1">
        <f t="shared" si="0"/>
        <v>0</v>
      </c>
      <c r="AB19" s="1" t="s">
        <v>9</v>
      </c>
      <c r="AC19" s="1">
        <v>1.75</v>
      </c>
      <c r="AE19" s="1" t="s">
        <v>9</v>
      </c>
      <c r="AF19" s="1">
        <v>10.8</v>
      </c>
      <c r="AH19" s="1" t="s">
        <v>9</v>
      </c>
      <c r="AI19" s="1">
        <v>2.5</v>
      </c>
    </row>
    <row r="20" spans="2:35" x14ac:dyDescent="0.25">
      <c r="B20" s="45"/>
      <c r="C20" s="46"/>
      <c r="D20" s="46"/>
      <c r="E20" s="47"/>
      <c r="F20" s="45"/>
      <c r="G20" s="46"/>
      <c r="H20" s="48"/>
      <c r="I20" s="45"/>
      <c r="J20" s="46"/>
      <c r="K20" s="47"/>
      <c r="L20" s="39"/>
      <c r="N20" s="1" t="s">
        <v>14</v>
      </c>
      <c r="O20" s="11">
        <v>500</v>
      </c>
      <c r="P20" s="11">
        <v>10</v>
      </c>
      <c r="Q20" s="11">
        <v>20</v>
      </c>
      <c r="R20" s="11" t="s">
        <v>7</v>
      </c>
      <c r="S20" s="11">
        <v>28</v>
      </c>
      <c r="T20" s="11">
        <v>0</v>
      </c>
      <c r="U20" s="11">
        <v>0</v>
      </c>
      <c r="W20" s="1">
        <f>IF(N20=Schraubenlänge!$B$3,1,0)</f>
        <v>1</v>
      </c>
      <c r="X20" s="1">
        <f>IF(O20=Schraubenlänge!$C$3,1,0)</f>
        <v>0</v>
      </c>
      <c r="Y20" s="1">
        <f>IF(P20=Schraubenlänge!$D$3,1,0)</f>
        <v>0</v>
      </c>
      <c r="Z20" s="1">
        <f t="shared" si="0"/>
        <v>0</v>
      </c>
      <c r="AB20" s="1" t="s">
        <v>33</v>
      </c>
      <c r="AC20" s="1">
        <v>2</v>
      </c>
      <c r="AE20" s="1" t="s">
        <v>33</v>
      </c>
      <c r="AF20" s="1">
        <v>12.8</v>
      </c>
      <c r="AH20" s="1" t="s">
        <v>33</v>
      </c>
      <c r="AI20" s="1">
        <v>2.5</v>
      </c>
    </row>
    <row r="21" spans="2:35" x14ac:dyDescent="0.25">
      <c r="B21" s="49"/>
      <c r="C21" s="50"/>
      <c r="D21" s="50"/>
      <c r="E21" s="51"/>
      <c r="F21" s="49"/>
      <c r="G21" s="50"/>
      <c r="H21" s="52"/>
      <c r="I21" s="49"/>
      <c r="J21" s="50"/>
      <c r="K21" s="51"/>
      <c r="L21" s="53"/>
      <c r="N21" s="1" t="s">
        <v>14</v>
      </c>
      <c r="O21" s="11">
        <v>600</v>
      </c>
      <c r="P21" s="11">
        <v>10</v>
      </c>
      <c r="Q21" s="11">
        <v>20</v>
      </c>
      <c r="R21" s="11" t="s">
        <v>8</v>
      </c>
      <c r="S21" s="11">
        <v>28</v>
      </c>
      <c r="T21" s="11">
        <v>0</v>
      </c>
      <c r="U21" s="11">
        <v>0</v>
      </c>
      <c r="W21" s="1">
        <f>IF(N21=Schraubenlänge!$B$3,1,0)</f>
        <v>1</v>
      </c>
      <c r="X21" s="1">
        <f>IF(O21=Schraubenlänge!$C$3,1,0)</f>
        <v>0</v>
      </c>
      <c r="Y21" s="1">
        <f>IF(P21=Schraubenlänge!$D$3,1,0)</f>
        <v>0</v>
      </c>
      <c r="Z21" s="1">
        <f t="shared" si="0"/>
        <v>0</v>
      </c>
      <c r="AB21" s="1" t="s">
        <v>10</v>
      </c>
      <c r="AC21" s="1">
        <v>2</v>
      </c>
      <c r="AE21" s="1" t="s">
        <v>10</v>
      </c>
      <c r="AF21" s="1">
        <v>14.8</v>
      </c>
      <c r="AH21" s="1" t="s">
        <v>10</v>
      </c>
      <c r="AI21" s="1">
        <v>3</v>
      </c>
    </row>
    <row r="22" spans="2:35" x14ac:dyDescent="0.25">
      <c r="B22" s="54"/>
      <c r="C22" s="55"/>
      <c r="D22" s="55"/>
      <c r="E22" s="56"/>
      <c r="F22" s="54"/>
      <c r="G22" s="55"/>
      <c r="H22" s="57"/>
      <c r="I22" s="54"/>
      <c r="J22" s="55"/>
      <c r="K22" s="56"/>
      <c r="L22" s="58"/>
      <c r="N22" s="1" t="s">
        <v>14</v>
      </c>
      <c r="O22" s="11">
        <v>10</v>
      </c>
      <c r="P22" s="11">
        <v>16</v>
      </c>
      <c r="Q22" s="11">
        <v>4</v>
      </c>
      <c r="R22" s="11" t="s">
        <v>9</v>
      </c>
      <c r="S22" s="11">
        <v>14</v>
      </c>
      <c r="T22" s="11">
        <v>0</v>
      </c>
      <c r="U22" s="11">
        <v>0</v>
      </c>
      <c r="W22" s="1">
        <f>IF(N22=Schraubenlänge!$B$3,1,0)</f>
        <v>1</v>
      </c>
      <c r="X22" s="1">
        <f>IF(O22=Schraubenlänge!$C$3,1,0)</f>
        <v>0</v>
      </c>
      <c r="Y22" s="1">
        <f>IF(P22=Schraubenlänge!$D$3,1,0)</f>
        <v>0</v>
      </c>
      <c r="Z22" s="1">
        <f t="shared" si="0"/>
        <v>0</v>
      </c>
      <c r="AB22" s="1" t="s">
        <v>34</v>
      </c>
      <c r="AC22" s="1">
        <v>2.5</v>
      </c>
      <c r="AE22" s="1" t="s">
        <v>34</v>
      </c>
      <c r="AF22" s="1">
        <v>15.8</v>
      </c>
      <c r="AH22" s="1" t="s">
        <v>34</v>
      </c>
      <c r="AI22" s="1">
        <v>3</v>
      </c>
    </row>
    <row r="23" spans="2:35" x14ac:dyDescent="0.25">
      <c r="B23" s="59"/>
      <c r="C23" s="60"/>
      <c r="D23" s="60"/>
      <c r="E23" s="61"/>
      <c r="F23" s="59"/>
      <c r="G23" s="60"/>
      <c r="H23" s="62"/>
      <c r="I23" s="59"/>
      <c r="J23" s="60"/>
      <c r="K23" s="61"/>
      <c r="L23" s="63"/>
      <c r="N23" s="1" t="s">
        <v>14</v>
      </c>
      <c r="O23" s="11">
        <v>15</v>
      </c>
      <c r="P23" s="11">
        <v>16</v>
      </c>
      <c r="Q23" s="11">
        <v>4</v>
      </c>
      <c r="R23" s="11" t="s">
        <v>9</v>
      </c>
      <c r="S23" s="11">
        <v>14</v>
      </c>
      <c r="T23" s="11">
        <v>0</v>
      </c>
      <c r="U23" s="11">
        <v>0</v>
      </c>
      <c r="W23" s="1">
        <f>IF(N23=Schraubenlänge!$B$3,1,0)</f>
        <v>1</v>
      </c>
      <c r="X23" s="1">
        <f>IF(O23=Schraubenlänge!$C$3,1,0)</f>
        <v>0</v>
      </c>
      <c r="Y23" s="1">
        <f>IF(P23=Schraubenlänge!$D$3,1,0)</f>
        <v>0</v>
      </c>
      <c r="Z23" s="1">
        <f t="shared" si="0"/>
        <v>0</v>
      </c>
      <c r="AB23" s="1" t="s">
        <v>5</v>
      </c>
      <c r="AC23" s="1">
        <v>2.5</v>
      </c>
      <c r="AE23" s="1" t="s">
        <v>5</v>
      </c>
      <c r="AF23" s="1">
        <v>18</v>
      </c>
      <c r="AH23" s="1" t="s">
        <v>5</v>
      </c>
      <c r="AI23" s="1">
        <v>3</v>
      </c>
    </row>
    <row r="24" spans="2:35" x14ac:dyDescent="0.25">
      <c r="B24" s="64"/>
      <c r="C24" s="65"/>
      <c r="D24" s="65"/>
      <c r="E24" s="66"/>
      <c r="F24" s="64"/>
      <c r="G24" s="65"/>
      <c r="H24" s="67"/>
      <c r="I24" s="64"/>
      <c r="J24" s="65"/>
      <c r="K24" s="66"/>
      <c r="L24" s="68"/>
      <c r="N24" s="1" t="s">
        <v>14</v>
      </c>
      <c r="O24" s="11">
        <v>20</v>
      </c>
      <c r="P24" s="11">
        <v>16</v>
      </c>
      <c r="Q24" s="11">
        <v>4</v>
      </c>
      <c r="R24" s="11" t="s">
        <v>9</v>
      </c>
      <c r="S24" s="11">
        <v>16</v>
      </c>
      <c r="T24" s="11">
        <v>0</v>
      </c>
      <c r="U24" s="11">
        <v>0</v>
      </c>
      <c r="W24" s="1">
        <f>IF(N24=Schraubenlänge!$B$3,1,0)</f>
        <v>1</v>
      </c>
      <c r="X24" s="1">
        <f>IF(O24=Schraubenlänge!$C$3,1,0)</f>
        <v>0</v>
      </c>
      <c r="Y24" s="1">
        <f>IF(P24=Schraubenlänge!$D$3,1,0)</f>
        <v>0</v>
      </c>
      <c r="Z24" s="1">
        <f t="shared" si="0"/>
        <v>0</v>
      </c>
      <c r="AB24" s="1" t="s">
        <v>35</v>
      </c>
      <c r="AC24" s="1">
        <v>2.5</v>
      </c>
      <c r="AE24" s="1" t="s">
        <v>35</v>
      </c>
      <c r="AF24" s="1">
        <v>19.399999999999999</v>
      </c>
      <c r="AH24" s="1" t="s">
        <v>35</v>
      </c>
      <c r="AI24" s="1">
        <v>3</v>
      </c>
    </row>
    <row r="25" spans="2:35" x14ac:dyDescent="0.25">
      <c r="B25" s="45"/>
      <c r="C25" s="46"/>
      <c r="D25" s="46"/>
      <c r="E25" s="47"/>
      <c r="F25" s="45"/>
      <c r="G25" s="46"/>
      <c r="H25" s="48"/>
      <c r="I25" s="45"/>
      <c r="J25" s="46"/>
      <c r="K25" s="47"/>
      <c r="L25" s="39"/>
      <c r="N25" s="1" t="s">
        <v>14</v>
      </c>
      <c r="O25" s="11">
        <v>25</v>
      </c>
      <c r="P25" s="11">
        <v>16</v>
      </c>
      <c r="Q25" s="11">
        <v>4</v>
      </c>
      <c r="R25" s="11" t="s">
        <v>9</v>
      </c>
      <c r="S25" s="11">
        <v>16</v>
      </c>
      <c r="T25" s="11">
        <v>0</v>
      </c>
      <c r="U25" s="11">
        <v>0</v>
      </c>
      <c r="W25" s="1">
        <f>IF(N25=Schraubenlänge!$B$3,1,0)</f>
        <v>1</v>
      </c>
      <c r="X25" s="1">
        <f>IF(O25=Schraubenlänge!$C$3,1,0)</f>
        <v>0</v>
      </c>
      <c r="Y25" s="1">
        <f>IF(P25=Schraubenlänge!$D$3,1,0)</f>
        <v>0</v>
      </c>
      <c r="Z25" s="1">
        <f t="shared" si="0"/>
        <v>0</v>
      </c>
      <c r="AB25" s="1" t="s">
        <v>7</v>
      </c>
      <c r="AC25" s="1">
        <v>3</v>
      </c>
      <c r="AE25" s="1" t="s">
        <v>7</v>
      </c>
      <c r="AF25" s="1">
        <v>21.5</v>
      </c>
      <c r="AH25" s="1" t="s">
        <v>7</v>
      </c>
      <c r="AI25" s="1">
        <v>4</v>
      </c>
    </row>
    <row r="26" spans="2:35" x14ac:dyDescent="0.25">
      <c r="B26" s="69"/>
      <c r="C26" s="70"/>
      <c r="D26" s="70"/>
      <c r="E26" s="71"/>
      <c r="F26" s="69"/>
      <c r="G26" s="70"/>
      <c r="H26" s="72"/>
      <c r="I26" s="69"/>
      <c r="J26" s="70"/>
      <c r="K26" s="71"/>
      <c r="L26" s="73"/>
      <c r="N26" s="1" t="s">
        <v>14</v>
      </c>
      <c r="O26" s="11">
        <v>32</v>
      </c>
      <c r="P26" s="11">
        <v>16</v>
      </c>
      <c r="Q26" s="11">
        <v>4</v>
      </c>
      <c r="R26" s="11" t="s">
        <v>10</v>
      </c>
      <c r="S26" s="11">
        <v>16</v>
      </c>
      <c r="T26" s="11">
        <v>0</v>
      </c>
      <c r="U26" s="11">
        <v>0</v>
      </c>
      <c r="W26" s="1">
        <f>IF(N26=Schraubenlänge!$B$3,1,0)</f>
        <v>1</v>
      </c>
      <c r="X26" s="1">
        <f>IF(O26=Schraubenlänge!$C$3,1,0)</f>
        <v>0</v>
      </c>
      <c r="Y26" s="1">
        <f>IF(P26=Schraubenlänge!$D$3,1,0)</f>
        <v>0</v>
      </c>
      <c r="Z26" s="1">
        <f t="shared" si="0"/>
        <v>0</v>
      </c>
      <c r="AB26" s="1" t="s">
        <v>8</v>
      </c>
      <c r="AC26" s="1">
        <v>3</v>
      </c>
      <c r="AE26" s="1" t="s">
        <v>8</v>
      </c>
      <c r="AF26" s="1">
        <v>23.8</v>
      </c>
      <c r="AH26" s="1" t="s">
        <v>8</v>
      </c>
      <c r="AI26" s="1">
        <v>4</v>
      </c>
    </row>
    <row r="27" spans="2:35" x14ac:dyDescent="0.25">
      <c r="B27" s="74"/>
      <c r="C27" s="75"/>
      <c r="D27" s="75"/>
      <c r="E27" s="76"/>
      <c r="F27" s="74"/>
      <c r="G27" s="75"/>
      <c r="H27" s="77"/>
      <c r="I27" s="74"/>
      <c r="J27" s="75"/>
      <c r="K27" s="76"/>
      <c r="L27" s="78"/>
      <c r="N27" s="1" t="s">
        <v>14</v>
      </c>
      <c r="O27" s="11">
        <v>40</v>
      </c>
      <c r="P27" s="11">
        <v>16</v>
      </c>
      <c r="Q27" s="11">
        <v>4</v>
      </c>
      <c r="R27" s="11" t="s">
        <v>10</v>
      </c>
      <c r="S27" s="11">
        <v>16</v>
      </c>
      <c r="T27" s="11">
        <v>0</v>
      </c>
      <c r="U27" s="11">
        <v>0</v>
      </c>
      <c r="W27" s="1">
        <f>IF(N27=Schraubenlänge!$B$3,1,0)</f>
        <v>1</v>
      </c>
      <c r="X27" s="1">
        <f>IF(O27=Schraubenlänge!$C$3,1,0)</f>
        <v>0</v>
      </c>
      <c r="Y27" s="1">
        <f>IF(P27=Schraubenlänge!$D$3,1,0)</f>
        <v>0</v>
      </c>
      <c r="Z27" s="1">
        <f t="shared" si="0"/>
        <v>0</v>
      </c>
      <c r="AB27" s="1" t="s">
        <v>6</v>
      </c>
      <c r="AC27" s="1">
        <v>3.5</v>
      </c>
      <c r="AE27" s="1" t="s">
        <v>6</v>
      </c>
      <c r="AF27" s="1">
        <v>25.6</v>
      </c>
      <c r="AH27" s="1" t="s">
        <v>6</v>
      </c>
      <c r="AI27" s="1">
        <v>4</v>
      </c>
    </row>
    <row r="28" spans="2:35" x14ac:dyDescent="0.25">
      <c r="B28" s="79"/>
      <c r="C28" s="80"/>
      <c r="D28" s="80"/>
      <c r="E28" s="81"/>
      <c r="F28" s="79"/>
      <c r="G28" s="80"/>
      <c r="H28" s="82"/>
      <c r="I28" s="79"/>
      <c r="J28" s="80"/>
      <c r="K28" s="81"/>
      <c r="L28" s="83"/>
      <c r="N28" s="1" t="s">
        <v>14</v>
      </c>
      <c r="O28" s="11">
        <v>50</v>
      </c>
      <c r="P28" s="11">
        <v>16</v>
      </c>
      <c r="Q28" s="11">
        <v>4</v>
      </c>
      <c r="R28" s="11" t="s">
        <v>10</v>
      </c>
      <c r="S28" s="11">
        <v>18</v>
      </c>
      <c r="T28" s="11">
        <v>0</v>
      </c>
      <c r="U28" s="11">
        <v>0</v>
      </c>
      <c r="W28" s="1">
        <f>IF(N28=Schraubenlänge!$B$3,1,0)</f>
        <v>1</v>
      </c>
      <c r="X28" s="1">
        <f>IF(O28=Schraubenlänge!$C$3,1,0)</f>
        <v>0</v>
      </c>
      <c r="Y28" s="1">
        <f>IF(P28=Schraubenlänge!$D$3,1,0)</f>
        <v>0</v>
      </c>
      <c r="Z28" s="1">
        <f t="shared" si="0"/>
        <v>0</v>
      </c>
      <c r="AB28" s="1" t="s">
        <v>36</v>
      </c>
      <c r="AC28" s="1">
        <v>4</v>
      </c>
      <c r="AE28" s="1" t="s">
        <v>11</v>
      </c>
      <c r="AF28" s="1">
        <v>28.7</v>
      </c>
      <c r="AH28" s="1" t="s">
        <v>11</v>
      </c>
      <c r="AI28" s="1">
        <v>5</v>
      </c>
    </row>
    <row r="29" spans="2:35" x14ac:dyDescent="0.25">
      <c r="B29" s="84"/>
      <c r="C29" s="85"/>
      <c r="D29" s="85"/>
      <c r="E29" s="86"/>
      <c r="F29" s="84"/>
      <c r="G29" s="85"/>
      <c r="H29" s="87"/>
      <c r="I29" s="84"/>
      <c r="J29" s="85"/>
      <c r="K29" s="86"/>
      <c r="L29" s="88"/>
      <c r="N29" s="1" t="s">
        <v>14</v>
      </c>
      <c r="O29" s="11">
        <v>65</v>
      </c>
      <c r="P29" s="11">
        <v>16</v>
      </c>
      <c r="Q29" s="11">
        <v>4</v>
      </c>
      <c r="R29" s="11" t="s">
        <v>10</v>
      </c>
      <c r="S29" s="11">
        <v>18</v>
      </c>
      <c r="T29" s="11">
        <v>0</v>
      </c>
      <c r="U29" s="11">
        <v>0</v>
      </c>
      <c r="W29" s="1">
        <f>IF(N29=Schraubenlänge!$B$3,1,0)</f>
        <v>1</v>
      </c>
      <c r="X29" s="1">
        <f>IF(O29=Schraubenlänge!$C$3,1,0)</f>
        <v>0</v>
      </c>
      <c r="Y29" s="1">
        <f>IF(P29=Schraubenlänge!$D$3,1,0)</f>
        <v>0</v>
      </c>
      <c r="Z29" s="1">
        <f t="shared" si="0"/>
        <v>0</v>
      </c>
      <c r="AB29" s="1" t="s">
        <v>37</v>
      </c>
      <c r="AC29" s="1">
        <v>4.5</v>
      </c>
      <c r="AE29" s="1" t="s">
        <v>36</v>
      </c>
      <c r="AF29" s="1">
        <v>31</v>
      </c>
      <c r="AH29" s="1" t="s">
        <v>36</v>
      </c>
      <c r="AI29" s="1">
        <v>5</v>
      </c>
    </row>
    <row r="30" spans="2:35" x14ac:dyDescent="0.25">
      <c r="B30" s="45"/>
      <c r="C30" s="46"/>
      <c r="D30" s="46"/>
      <c r="E30" s="47"/>
      <c r="F30" s="45"/>
      <c r="G30" s="46"/>
      <c r="H30" s="48"/>
      <c r="I30" s="45"/>
      <c r="J30" s="46"/>
      <c r="K30" s="47"/>
      <c r="L30" s="39"/>
      <c r="N30" s="1" t="s">
        <v>14</v>
      </c>
      <c r="O30" s="11">
        <v>80</v>
      </c>
      <c r="P30" s="11">
        <v>16</v>
      </c>
      <c r="Q30" s="11">
        <v>8</v>
      </c>
      <c r="R30" s="11" t="s">
        <v>10</v>
      </c>
      <c r="S30" s="11">
        <v>20</v>
      </c>
      <c r="T30" s="11">
        <v>0</v>
      </c>
      <c r="U30" s="11">
        <v>0</v>
      </c>
      <c r="W30" s="1">
        <f>IF(N30=Schraubenlänge!$B$3,1,0)</f>
        <v>1</v>
      </c>
      <c r="X30" s="1">
        <f>IF(O30=Schraubenlänge!$C$3,1,0)</f>
        <v>0</v>
      </c>
      <c r="Y30" s="1">
        <f>IF(P30=Schraubenlänge!$D$3,1,0)</f>
        <v>0</v>
      </c>
      <c r="Z30" s="1">
        <f t="shared" si="0"/>
        <v>0</v>
      </c>
      <c r="AB30" s="1" t="s">
        <v>38</v>
      </c>
      <c r="AC30" s="1">
        <v>5</v>
      </c>
      <c r="AE30" s="1" t="s">
        <v>37</v>
      </c>
      <c r="AF30" s="1">
        <v>34</v>
      </c>
      <c r="AH30" s="1" t="s">
        <v>37</v>
      </c>
      <c r="AI30" s="1">
        <v>8</v>
      </c>
    </row>
    <row r="31" spans="2:35" x14ac:dyDescent="0.25">
      <c r="B31" s="89"/>
      <c r="C31" s="90"/>
      <c r="D31" s="90"/>
      <c r="E31" s="91"/>
      <c r="F31" s="89"/>
      <c r="G31" s="90"/>
      <c r="H31" s="92"/>
      <c r="I31" s="89"/>
      <c r="J31" s="90"/>
      <c r="K31" s="91"/>
      <c r="L31" s="93"/>
      <c r="N31" s="1" t="s">
        <v>14</v>
      </c>
      <c r="O31" s="11">
        <v>100</v>
      </c>
      <c r="P31" s="11">
        <v>16</v>
      </c>
      <c r="Q31" s="11">
        <v>8</v>
      </c>
      <c r="R31" s="11" t="s">
        <v>10</v>
      </c>
      <c r="S31" s="11">
        <v>20</v>
      </c>
      <c r="T31" s="11">
        <v>0</v>
      </c>
      <c r="U31" s="11">
        <v>0</v>
      </c>
      <c r="W31" s="1">
        <f>IF(N31=Schraubenlänge!$B$3,1,0)</f>
        <v>1</v>
      </c>
      <c r="X31" s="1">
        <f>IF(O31=Schraubenlänge!$C$3,1,0)</f>
        <v>0</v>
      </c>
      <c r="Y31" s="1">
        <f>IF(P31=Schraubenlänge!$D$3,1,0)</f>
        <v>0</v>
      </c>
      <c r="Z31" s="1">
        <f t="shared" si="0"/>
        <v>0</v>
      </c>
      <c r="AB31" s="1" t="s">
        <v>39</v>
      </c>
      <c r="AC31" s="1">
        <v>5.5</v>
      </c>
      <c r="AE31" s="1" t="s">
        <v>38</v>
      </c>
      <c r="AF31" s="1">
        <v>38</v>
      </c>
      <c r="AH31" s="1" t="s">
        <v>38</v>
      </c>
      <c r="AI31" s="1">
        <v>8</v>
      </c>
    </row>
    <row r="32" spans="2:35" x14ac:dyDescent="0.25">
      <c r="B32" s="94"/>
      <c r="C32" s="95"/>
      <c r="D32" s="95"/>
      <c r="E32" s="96"/>
      <c r="F32" s="94"/>
      <c r="G32" s="95"/>
      <c r="H32" s="97"/>
      <c r="I32" s="94"/>
      <c r="J32" s="95"/>
      <c r="K32" s="96"/>
      <c r="L32" s="98"/>
      <c r="N32" s="1" t="s">
        <v>14</v>
      </c>
      <c r="O32" s="11">
        <v>125</v>
      </c>
      <c r="P32" s="11">
        <v>16</v>
      </c>
      <c r="Q32" s="11">
        <v>8</v>
      </c>
      <c r="R32" s="11" t="s">
        <v>10</v>
      </c>
      <c r="S32" s="11">
        <v>22</v>
      </c>
      <c r="T32" s="11">
        <v>0</v>
      </c>
      <c r="U32" s="11">
        <v>0</v>
      </c>
      <c r="W32" s="1">
        <f>IF(N32=Schraubenlänge!$B$3,1,0)</f>
        <v>1</v>
      </c>
      <c r="X32" s="1">
        <f>IF(O32=Schraubenlänge!$C$3,1,0)</f>
        <v>0</v>
      </c>
      <c r="Y32" s="1">
        <f>IF(P32=Schraubenlänge!$D$3,1,0)</f>
        <v>0</v>
      </c>
      <c r="Z32" s="1">
        <f t="shared" si="0"/>
        <v>0</v>
      </c>
      <c r="AB32" s="1" t="s">
        <v>40</v>
      </c>
      <c r="AC32" s="1">
        <v>6</v>
      </c>
      <c r="AE32" s="1" t="s">
        <v>39</v>
      </c>
      <c r="AF32" s="1">
        <v>45</v>
      </c>
      <c r="AH32" s="1" t="s">
        <v>39</v>
      </c>
      <c r="AI32" s="1">
        <v>10</v>
      </c>
    </row>
    <row r="33" spans="2:35" x14ac:dyDescent="0.25">
      <c r="B33" s="99"/>
      <c r="C33" s="100"/>
      <c r="D33" s="100"/>
      <c r="E33" s="101"/>
      <c r="F33" s="99"/>
      <c r="G33" s="100"/>
      <c r="H33" s="102"/>
      <c r="I33" s="99"/>
      <c r="J33" s="100"/>
      <c r="K33" s="101"/>
      <c r="L33" s="103"/>
      <c r="N33" s="1" t="s">
        <v>14</v>
      </c>
      <c r="O33" s="11">
        <v>150</v>
      </c>
      <c r="P33" s="11">
        <v>16</v>
      </c>
      <c r="Q33" s="11">
        <v>8</v>
      </c>
      <c r="R33" s="11" t="s">
        <v>5</v>
      </c>
      <c r="S33" s="11">
        <v>22</v>
      </c>
      <c r="T33" s="11">
        <v>0</v>
      </c>
      <c r="U33" s="11">
        <v>0</v>
      </c>
      <c r="W33" s="1">
        <f>IF(N33=Schraubenlänge!$B$3,1,0)</f>
        <v>1</v>
      </c>
      <c r="X33" s="1">
        <f>IF(O33=Schraubenlänge!$C$3,1,0)</f>
        <v>1</v>
      </c>
      <c r="Y33" s="1">
        <f>IF(P33=Schraubenlänge!$D$3,1,0)</f>
        <v>0</v>
      </c>
      <c r="Z33" s="1">
        <f t="shared" si="0"/>
        <v>0</v>
      </c>
      <c r="AB33" s="1" t="s">
        <v>11</v>
      </c>
      <c r="AC33" s="1">
        <v>3.5</v>
      </c>
      <c r="AE33" s="1" t="s">
        <v>40</v>
      </c>
      <c r="AF33" s="1">
        <v>51</v>
      </c>
      <c r="AH33" s="1" t="s">
        <v>40</v>
      </c>
      <c r="AI33" s="1">
        <v>10</v>
      </c>
    </row>
    <row r="34" spans="2:35" x14ac:dyDescent="0.25">
      <c r="B34" s="104"/>
      <c r="C34" s="105"/>
      <c r="D34" s="105"/>
      <c r="E34" s="106"/>
      <c r="F34" s="104"/>
      <c r="G34" s="105"/>
      <c r="H34" s="107"/>
      <c r="I34" s="104"/>
      <c r="J34" s="105"/>
      <c r="K34" s="106"/>
      <c r="L34" s="108"/>
      <c r="N34" s="1" t="s">
        <v>14</v>
      </c>
      <c r="O34" s="11">
        <v>200</v>
      </c>
      <c r="P34" s="11">
        <v>16</v>
      </c>
      <c r="Q34" s="11">
        <v>12</v>
      </c>
      <c r="R34" s="11" t="s">
        <v>5</v>
      </c>
      <c r="S34" s="11">
        <v>24</v>
      </c>
      <c r="T34" s="11">
        <v>0</v>
      </c>
      <c r="U34" s="11">
        <v>0</v>
      </c>
      <c r="W34" s="1">
        <f>IF(N34=Schraubenlänge!$B$3,1,0)</f>
        <v>1</v>
      </c>
      <c r="X34" s="1">
        <f>IF(O34=Schraubenlänge!$C$3,1,0)</f>
        <v>0</v>
      </c>
      <c r="Y34" s="1">
        <f>IF(P34=Schraubenlänge!$D$3,1,0)</f>
        <v>0</v>
      </c>
      <c r="Z34" s="1">
        <f t="shared" si="0"/>
        <v>0</v>
      </c>
    </row>
    <row r="35" spans="2:35" x14ac:dyDescent="0.25">
      <c r="B35" s="109"/>
      <c r="C35" s="110"/>
      <c r="D35" s="110"/>
      <c r="E35" s="111"/>
      <c r="F35" s="109"/>
      <c r="G35" s="110"/>
      <c r="H35" s="112"/>
      <c r="I35" s="109"/>
      <c r="J35" s="110"/>
      <c r="K35" s="111"/>
      <c r="L35" s="113"/>
      <c r="N35" s="1" t="s">
        <v>14</v>
      </c>
      <c r="O35" s="11">
        <v>250</v>
      </c>
      <c r="P35" s="11">
        <v>16</v>
      </c>
      <c r="Q35" s="11">
        <v>12</v>
      </c>
      <c r="R35" s="11" t="s">
        <v>7</v>
      </c>
      <c r="S35" s="11">
        <v>26</v>
      </c>
      <c r="T35" s="11">
        <v>0</v>
      </c>
      <c r="U35" s="11">
        <v>0</v>
      </c>
      <c r="W35" s="1">
        <f>IF(N35=Schraubenlänge!$B$3,1,0)</f>
        <v>1</v>
      </c>
      <c r="X35" s="1">
        <f>IF(O35=Schraubenlänge!$C$3,1,0)</f>
        <v>0</v>
      </c>
      <c r="Y35" s="1">
        <f>IF(P35=Schraubenlänge!$D$3,1,0)</f>
        <v>0</v>
      </c>
      <c r="Z35" s="1">
        <f t="shared" si="0"/>
        <v>0</v>
      </c>
    </row>
    <row r="36" spans="2:35" x14ac:dyDescent="0.25">
      <c r="B36" s="69"/>
      <c r="C36" s="70"/>
      <c r="D36" s="70"/>
      <c r="E36" s="71"/>
      <c r="F36" s="69"/>
      <c r="G36" s="70"/>
      <c r="H36" s="72"/>
      <c r="I36" s="69"/>
      <c r="J36" s="70"/>
      <c r="K36" s="71"/>
      <c r="L36" s="73"/>
      <c r="N36" s="1" t="s">
        <v>14</v>
      </c>
      <c r="O36" s="11">
        <v>300</v>
      </c>
      <c r="P36" s="11">
        <v>16</v>
      </c>
      <c r="Q36" s="11">
        <v>12</v>
      </c>
      <c r="R36" s="11" t="s">
        <v>7</v>
      </c>
      <c r="S36" s="11">
        <v>28</v>
      </c>
      <c r="T36" s="11">
        <v>0</v>
      </c>
      <c r="U36" s="11">
        <v>0</v>
      </c>
      <c r="W36" s="1">
        <f>IF(N36=Schraubenlänge!$B$3,1,0)</f>
        <v>1</v>
      </c>
      <c r="X36" s="1">
        <f>IF(O36=Schraubenlänge!$C$3,1,0)</f>
        <v>0</v>
      </c>
      <c r="Y36" s="1">
        <f>IF(P36=Schraubenlänge!$D$3,1,0)</f>
        <v>0</v>
      </c>
      <c r="Z36" s="1">
        <f t="shared" si="0"/>
        <v>0</v>
      </c>
    </row>
    <row r="37" spans="2:35" x14ac:dyDescent="0.25">
      <c r="B37" s="45"/>
      <c r="C37" s="46"/>
      <c r="D37" s="46"/>
      <c r="E37" s="47"/>
      <c r="F37" s="45"/>
      <c r="G37" s="46"/>
      <c r="H37" s="48"/>
      <c r="I37" s="45"/>
      <c r="J37" s="46"/>
      <c r="K37" s="47"/>
      <c r="L37" s="39"/>
      <c r="N37" s="1" t="s">
        <v>14</v>
      </c>
      <c r="O37" s="11">
        <v>350</v>
      </c>
      <c r="P37" s="11">
        <v>16</v>
      </c>
      <c r="Q37" s="11">
        <v>16</v>
      </c>
      <c r="R37" s="11" t="s">
        <v>7</v>
      </c>
      <c r="S37" s="11">
        <v>30</v>
      </c>
      <c r="T37" s="11">
        <v>0</v>
      </c>
      <c r="U37" s="11">
        <v>0</v>
      </c>
      <c r="W37" s="1">
        <f>IF(N37=Schraubenlänge!$B$3,1,0)</f>
        <v>1</v>
      </c>
      <c r="X37" s="1">
        <f>IF(O37=Schraubenlänge!$C$3,1,0)</f>
        <v>0</v>
      </c>
      <c r="Y37" s="1">
        <f>IF(P37=Schraubenlänge!$D$3,1,0)</f>
        <v>0</v>
      </c>
      <c r="Z37" s="1">
        <f t="shared" si="0"/>
        <v>0</v>
      </c>
    </row>
    <row r="38" spans="2:35" ht="15.75" thickBot="1" x14ac:dyDescent="0.3">
      <c r="B38" s="114"/>
      <c r="C38" s="115"/>
      <c r="D38" s="115"/>
      <c r="E38" s="116"/>
      <c r="F38" s="114"/>
      <c r="G38" s="115"/>
      <c r="H38" s="117"/>
      <c r="I38" s="114"/>
      <c r="J38" s="115"/>
      <c r="K38" s="116"/>
      <c r="L38" s="118"/>
      <c r="N38" s="1" t="s">
        <v>14</v>
      </c>
      <c r="O38" s="11">
        <v>400</v>
      </c>
      <c r="P38" s="11">
        <v>16</v>
      </c>
      <c r="Q38" s="11">
        <v>16</v>
      </c>
      <c r="R38" s="11" t="s">
        <v>8</v>
      </c>
      <c r="S38" s="11">
        <v>32</v>
      </c>
      <c r="T38" s="11">
        <v>0</v>
      </c>
      <c r="U38" s="11">
        <v>0</v>
      </c>
      <c r="W38" s="1">
        <f>IF(N38=Schraubenlänge!$B$3,1,0)</f>
        <v>1</v>
      </c>
      <c r="X38" s="1">
        <f>IF(O38=Schraubenlänge!$C$3,1,0)</f>
        <v>0</v>
      </c>
      <c r="Y38" s="1">
        <f>IF(P38=Schraubenlänge!$D$3,1,0)</f>
        <v>0</v>
      </c>
      <c r="Z38" s="1">
        <f t="shared" si="0"/>
        <v>0</v>
      </c>
    </row>
    <row r="39" spans="2:35" x14ac:dyDescent="0.25">
      <c r="N39" s="1" t="s">
        <v>14</v>
      </c>
      <c r="O39" s="11">
        <v>500</v>
      </c>
      <c r="P39" s="11">
        <v>16</v>
      </c>
      <c r="Q39" s="11">
        <v>20</v>
      </c>
      <c r="R39" s="11" t="s">
        <v>6</v>
      </c>
      <c r="S39" s="11">
        <v>34</v>
      </c>
      <c r="T39" s="11">
        <v>0</v>
      </c>
      <c r="U39" s="11">
        <v>0</v>
      </c>
      <c r="W39" s="1">
        <f>IF(N39=Schraubenlänge!$B$3,1,0)</f>
        <v>1</v>
      </c>
      <c r="X39" s="1">
        <f>IF(O39=Schraubenlänge!$C$3,1,0)</f>
        <v>0</v>
      </c>
      <c r="Y39" s="1">
        <f>IF(P39=Schraubenlänge!$D$3,1,0)</f>
        <v>0</v>
      </c>
      <c r="Z39" s="1">
        <f t="shared" si="0"/>
        <v>0</v>
      </c>
    </row>
    <row r="40" spans="2:35" x14ac:dyDescent="0.25">
      <c r="N40" s="1" t="s">
        <v>14</v>
      </c>
      <c r="O40" s="11">
        <v>600</v>
      </c>
      <c r="P40" s="11">
        <v>16</v>
      </c>
      <c r="Q40" s="11">
        <v>20</v>
      </c>
      <c r="R40" s="11" t="s">
        <v>11</v>
      </c>
      <c r="S40" s="11">
        <v>36</v>
      </c>
      <c r="T40" s="11">
        <v>0</v>
      </c>
      <c r="U40" s="11">
        <v>0</v>
      </c>
      <c r="W40" s="1">
        <f>IF(N40=Schraubenlänge!$B$3,1,0)</f>
        <v>1</v>
      </c>
      <c r="X40" s="1">
        <f>IF(O40=Schraubenlänge!$C$3,1,0)</f>
        <v>0</v>
      </c>
      <c r="Y40" s="1">
        <f>IF(P40=Schraubenlänge!$D$3,1,0)</f>
        <v>0</v>
      </c>
      <c r="Z40" s="1">
        <f t="shared" si="0"/>
        <v>0</v>
      </c>
    </row>
    <row r="41" spans="2:35" x14ac:dyDescent="0.25">
      <c r="N41" s="1" t="s">
        <v>14</v>
      </c>
      <c r="O41" s="11">
        <v>10</v>
      </c>
      <c r="P41" s="11">
        <v>25</v>
      </c>
      <c r="Q41" s="11">
        <v>4</v>
      </c>
      <c r="R41" s="11" t="s">
        <v>9</v>
      </c>
      <c r="S41" s="11">
        <v>16</v>
      </c>
      <c r="T41" s="11">
        <v>0</v>
      </c>
      <c r="U41" s="11">
        <v>0</v>
      </c>
      <c r="W41" s="1">
        <f>IF(N41=Schraubenlänge!$B$3,1,0)</f>
        <v>1</v>
      </c>
      <c r="X41" s="1">
        <f>IF(O41=Schraubenlänge!$C$3,1,0)</f>
        <v>0</v>
      </c>
      <c r="Y41" s="1">
        <f>IF(P41=Schraubenlänge!$D$3,1,0)</f>
        <v>0</v>
      </c>
      <c r="Z41" s="1">
        <f t="shared" si="0"/>
        <v>0</v>
      </c>
    </row>
    <row r="42" spans="2:35" x14ac:dyDescent="0.25">
      <c r="N42" s="1" t="s">
        <v>14</v>
      </c>
      <c r="O42" s="11">
        <v>15</v>
      </c>
      <c r="P42" s="11">
        <v>25</v>
      </c>
      <c r="Q42" s="11">
        <v>4</v>
      </c>
      <c r="R42" s="11" t="s">
        <v>9</v>
      </c>
      <c r="S42" s="11">
        <v>16</v>
      </c>
      <c r="T42" s="11">
        <v>0</v>
      </c>
      <c r="U42" s="11">
        <v>0</v>
      </c>
      <c r="W42" s="1">
        <f>IF(N42=Schraubenlänge!$B$3,1,0)</f>
        <v>1</v>
      </c>
      <c r="X42" s="1">
        <f>IF(O42=Schraubenlänge!$C$3,1,0)</f>
        <v>0</v>
      </c>
      <c r="Y42" s="1">
        <f>IF(P42=Schraubenlänge!$D$3,1,0)</f>
        <v>0</v>
      </c>
      <c r="Z42" s="1">
        <f t="shared" si="0"/>
        <v>0</v>
      </c>
    </row>
    <row r="43" spans="2:35" x14ac:dyDescent="0.25">
      <c r="N43" s="1" t="s">
        <v>14</v>
      </c>
      <c r="O43" s="11">
        <v>20</v>
      </c>
      <c r="P43" s="11">
        <v>25</v>
      </c>
      <c r="Q43" s="11">
        <v>4</v>
      </c>
      <c r="R43" s="11" t="s">
        <v>9</v>
      </c>
      <c r="S43" s="11">
        <v>18</v>
      </c>
      <c r="T43" s="11">
        <v>0</v>
      </c>
      <c r="U43" s="11">
        <v>0</v>
      </c>
      <c r="W43" s="1">
        <f>IF(N43=Schraubenlänge!$B$3,1,0)</f>
        <v>1</v>
      </c>
      <c r="X43" s="1">
        <f>IF(O43=Schraubenlänge!$C$3,1,0)</f>
        <v>0</v>
      </c>
      <c r="Y43" s="1">
        <f>IF(P43=Schraubenlänge!$D$3,1,0)</f>
        <v>0</v>
      </c>
      <c r="Z43" s="1">
        <f t="shared" si="0"/>
        <v>0</v>
      </c>
    </row>
    <row r="44" spans="2:35" x14ac:dyDescent="0.25">
      <c r="N44" s="1" t="s">
        <v>14</v>
      </c>
      <c r="O44" s="11">
        <v>25</v>
      </c>
      <c r="P44" s="11">
        <v>25</v>
      </c>
      <c r="Q44" s="11">
        <v>4</v>
      </c>
      <c r="R44" s="11" t="s">
        <v>9</v>
      </c>
      <c r="S44" s="11">
        <v>18</v>
      </c>
      <c r="T44" s="11">
        <v>0</v>
      </c>
      <c r="U44" s="11">
        <v>0</v>
      </c>
      <c r="W44" s="1">
        <f>IF(N44=Schraubenlänge!$B$3,1,0)</f>
        <v>1</v>
      </c>
      <c r="X44" s="1">
        <f>IF(O44=Schraubenlänge!$C$3,1,0)</f>
        <v>0</v>
      </c>
      <c r="Y44" s="1">
        <f>IF(P44=Schraubenlänge!$D$3,1,0)</f>
        <v>0</v>
      </c>
      <c r="Z44" s="1">
        <f t="shared" si="0"/>
        <v>0</v>
      </c>
    </row>
    <row r="45" spans="2:35" x14ac:dyDescent="0.25">
      <c r="N45" s="1" t="s">
        <v>14</v>
      </c>
      <c r="O45" s="11">
        <v>32</v>
      </c>
      <c r="P45" s="11">
        <v>25</v>
      </c>
      <c r="Q45" s="11">
        <v>4</v>
      </c>
      <c r="R45" s="11" t="s">
        <v>10</v>
      </c>
      <c r="S45" s="11">
        <v>18</v>
      </c>
      <c r="T45" s="11">
        <v>0</v>
      </c>
      <c r="U45" s="11">
        <v>0</v>
      </c>
      <c r="W45" s="1">
        <f>IF(N45=Schraubenlänge!$B$3,1,0)</f>
        <v>1</v>
      </c>
      <c r="X45" s="1">
        <f>IF(O45=Schraubenlänge!$C$3,1,0)</f>
        <v>0</v>
      </c>
      <c r="Y45" s="1">
        <f>IF(P45=Schraubenlänge!$D$3,1,0)</f>
        <v>0</v>
      </c>
      <c r="Z45" s="1">
        <f t="shared" si="0"/>
        <v>0</v>
      </c>
    </row>
    <row r="46" spans="2:35" x14ac:dyDescent="0.25">
      <c r="N46" s="1" t="s">
        <v>14</v>
      </c>
      <c r="O46" s="11">
        <v>40</v>
      </c>
      <c r="P46" s="11">
        <v>25</v>
      </c>
      <c r="Q46" s="11">
        <v>4</v>
      </c>
      <c r="R46" s="11" t="s">
        <v>10</v>
      </c>
      <c r="S46" s="11">
        <v>18</v>
      </c>
      <c r="T46" s="11">
        <v>0</v>
      </c>
      <c r="U46" s="11">
        <v>0</v>
      </c>
      <c r="W46" s="1">
        <f>IF(N46=Schraubenlänge!$B$3,1,0)</f>
        <v>1</v>
      </c>
      <c r="X46" s="1">
        <f>IF(O46=Schraubenlänge!$C$3,1,0)</f>
        <v>0</v>
      </c>
      <c r="Y46" s="1">
        <f>IF(P46=Schraubenlänge!$D$3,1,0)</f>
        <v>0</v>
      </c>
      <c r="Z46" s="1">
        <f t="shared" si="0"/>
        <v>0</v>
      </c>
    </row>
    <row r="47" spans="2:35" x14ac:dyDescent="0.25">
      <c r="N47" s="1" t="s">
        <v>14</v>
      </c>
      <c r="O47" s="11">
        <v>50</v>
      </c>
      <c r="P47" s="11">
        <v>25</v>
      </c>
      <c r="Q47" s="11">
        <v>4</v>
      </c>
      <c r="R47" s="11" t="s">
        <v>10</v>
      </c>
      <c r="S47" s="11">
        <v>20</v>
      </c>
      <c r="T47" s="11">
        <v>0</v>
      </c>
      <c r="U47" s="11">
        <v>0</v>
      </c>
      <c r="W47" s="1">
        <f>IF(N47=Schraubenlänge!$B$3,1,0)</f>
        <v>1</v>
      </c>
      <c r="X47" s="1">
        <f>IF(O47=Schraubenlänge!$C$3,1,0)</f>
        <v>0</v>
      </c>
      <c r="Y47" s="1">
        <f>IF(P47=Schraubenlänge!$D$3,1,0)</f>
        <v>0</v>
      </c>
      <c r="Z47" s="1">
        <f t="shared" si="0"/>
        <v>0</v>
      </c>
    </row>
    <row r="48" spans="2:35" x14ac:dyDescent="0.25">
      <c r="N48" s="1" t="s">
        <v>14</v>
      </c>
      <c r="O48" s="11">
        <v>65</v>
      </c>
      <c r="P48" s="11">
        <v>25</v>
      </c>
      <c r="Q48" s="11">
        <v>8</v>
      </c>
      <c r="R48" s="11" t="s">
        <v>10</v>
      </c>
      <c r="S48" s="11">
        <v>22</v>
      </c>
      <c r="T48" s="11">
        <v>0</v>
      </c>
      <c r="U48" s="11">
        <v>0</v>
      </c>
      <c r="W48" s="1">
        <f>IF(N48=Schraubenlänge!$B$3,1,0)</f>
        <v>1</v>
      </c>
      <c r="X48" s="1">
        <f>IF(O48=Schraubenlänge!$C$3,1,0)</f>
        <v>0</v>
      </c>
      <c r="Y48" s="1">
        <f>IF(P48=Schraubenlänge!$D$3,1,0)</f>
        <v>0</v>
      </c>
      <c r="Z48" s="1">
        <f t="shared" si="0"/>
        <v>0</v>
      </c>
    </row>
    <row r="49" spans="14:26" x14ac:dyDescent="0.25">
      <c r="N49" s="1" t="s">
        <v>14</v>
      </c>
      <c r="O49" s="11">
        <v>80</v>
      </c>
      <c r="P49" s="11">
        <v>25</v>
      </c>
      <c r="Q49" s="11">
        <v>8</v>
      </c>
      <c r="R49" s="11" t="s">
        <v>10</v>
      </c>
      <c r="S49" s="11">
        <v>24</v>
      </c>
      <c r="T49" s="11">
        <v>0</v>
      </c>
      <c r="U49" s="11">
        <v>0</v>
      </c>
      <c r="W49" s="1">
        <f>IF(N49=Schraubenlänge!$B$3,1,0)</f>
        <v>1</v>
      </c>
      <c r="X49" s="1">
        <f>IF(O49=Schraubenlänge!$C$3,1,0)</f>
        <v>0</v>
      </c>
      <c r="Y49" s="1">
        <f>IF(P49=Schraubenlänge!$D$3,1,0)</f>
        <v>0</v>
      </c>
      <c r="Z49" s="1">
        <f t="shared" si="0"/>
        <v>0</v>
      </c>
    </row>
    <row r="50" spans="14:26" x14ac:dyDescent="0.25">
      <c r="N50" s="1" t="s">
        <v>14</v>
      </c>
      <c r="O50" s="11">
        <v>100</v>
      </c>
      <c r="P50" s="11">
        <v>25</v>
      </c>
      <c r="Q50" s="11">
        <v>8</v>
      </c>
      <c r="R50" s="11" t="s">
        <v>5</v>
      </c>
      <c r="S50" s="11">
        <v>24</v>
      </c>
      <c r="T50" s="11">
        <v>0</v>
      </c>
      <c r="U50" s="11">
        <v>0</v>
      </c>
      <c r="W50" s="1">
        <f>IF(N50=Schraubenlänge!$B$3,1,0)</f>
        <v>1</v>
      </c>
      <c r="X50" s="1">
        <f>IF(O50=Schraubenlänge!$C$3,1,0)</f>
        <v>0</v>
      </c>
      <c r="Y50" s="1">
        <f>IF(P50=Schraubenlänge!$D$3,1,0)</f>
        <v>0</v>
      </c>
      <c r="Z50" s="1">
        <f t="shared" si="0"/>
        <v>0</v>
      </c>
    </row>
    <row r="51" spans="14:26" x14ac:dyDescent="0.25">
      <c r="N51" s="1" t="s">
        <v>14</v>
      </c>
      <c r="O51" s="11">
        <v>125</v>
      </c>
      <c r="P51" s="11">
        <v>25</v>
      </c>
      <c r="Q51" s="11">
        <v>8</v>
      </c>
      <c r="R51" s="11" t="s">
        <v>7</v>
      </c>
      <c r="S51" s="11">
        <v>26</v>
      </c>
      <c r="T51" s="11">
        <v>0</v>
      </c>
      <c r="U51" s="11">
        <v>0</v>
      </c>
      <c r="W51" s="1">
        <f>IF(N51=Schraubenlänge!$B$3,1,0)</f>
        <v>1</v>
      </c>
      <c r="X51" s="1">
        <f>IF(O51=Schraubenlänge!$C$3,1,0)</f>
        <v>0</v>
      </c>
      <c r="Y51" s="1">
        <f>IF(P51=Schraubenlänge!$D$3,1,0)</f>
        <v>0</v>
      </c>
      <c r="Z51" s="1">
        <f t="shared" si="0"/>
        <v>0</v>
      </c>
    </row>
    <row r="52" spans="14:26" x14ac:dyDescent="0.25">
      <c r="N52" s="1" t="s">
        <v>14</v>
      </c>
      <c r="O52" s="11">
        <v>150</v>
      </c>
      <c r="P52" s="11">
        <v>25</v>
      </c>
      <c r="Q52" s="11">
        <v>8</v>
      </c>
      <c r="R52" s="11" t="s">
        <v>7</v>
      </c>
      <c r="S52" s="11">
        <v>28</v>
      </c>
      <c r="T52" s="11">
        <v>0</v>
      </c>
      <c r="U52" s="11">
        <v>0</v>
      </c>
      <c r="W52" s="1">
        <f>IF(N52=Schraubenlänge!$B$3,1,0)</f>
        <v>1</v>
      </c>
      <c r="X52" s="1">
        <f>IF(O52=Schraubenlänge!$C$3,1,0)</f>
        <v>1</v>
      </c>
      <c r="Y52" s="1">
        <f>IF(P52=Schraubenlänge!$D$3,1,0)</f>
        <v>0</v>
      </c>
      <c r="Z52" s="1">
        <f t="shared" si="0"/>
        <v>0</v>
      </c>
    </row>
    <row r="53" spans="14:26" x14ac:dyDescent="0.25">
      <c r="N53" s="1" t="s">
        <v>14</v>
      </c>
      <c r="O53" s="11">
        <v>200</v>
      </c>
      <c r="P53" s="11">
        <v>25</v>
      </c>
      <c r="Q53" s="11">
        <v>12</v>
      </c>
      <c r="R53" s="11" t="s">
        <v>7</v>
      </c>
      <c r="S53" s="11">
        <v>30</v>
      </c>
      <c r="T53" s="11">
        <v>0</v>
      </c>
      <c r="U53" s="11">
        <v>0</v>
      </c>
      <c r="W53" s="1">
        <f>IF(N53=Schraubenlänge!$B$3,1,0)</f>
        <v>1</v>
      </c>
      <c r="X53" s="1">
        <f>IF(O53=Schraubenlänge!$C$3,1,0)</f>
        <v>0</v>
      </c>
      <c r="Y53" s="1">
        <f>IF(P53=Schraubenlänge!$D$3,1,0)</f>
        <v>0</v>
      </c>
      <c r="Z53" s="1">
        <f t="shared" si="0"/>
        <v>0</v>
      </c>
    </row>
    <row r="54" spans="14:26" x14ac:dyDescent="0.25">
      <c r="N54" s="1" t="s">
        <v>14</v>
      </c>
      <c r="O54" s="11">
        <v>250</v>
      </c>
      <c r="P54" s="11">
        <v>25</v>
      </c>
      <c r="Q54" s="11">
        <v>12</v>
      </c>
      <c r="R54" s="11" t="s">
        <v>8</v>
      </c>
      <c r="S54" s="11">
        <v>32</v>
      </c>
      <c r="T54" s="11">
        <v>0</v>
      </c>
      <c r="U54" s="11">
        <v>0</v>
      </c>
      <c r="W54" s="1">
        <f>IF(N54=Schraubenlänge!$B$3,1,0)</f>
        <v>1</v>
      </c>
      <c r="X54" s="1">
        <f>IF(O54=Schraubenlänge!$C$3,1,0)</f>
        <v>0</v>
      </c>
      <c r="Y54" s="1">
        <f>IF(P54=Schraubenlänge!$D$3,1,0)</f>
        <v>0</v>
      </c>
      <c r="Z54" s="1">
        <f t="shared" si="0"/>
        <v>0</v>
      </c>
    </row>
    <row r="55" spans="14:26" x14ac:dyDescent="0.25">
      <c r="N55" s="1" t="s">
        <v>14</v>
      </c>
      <c r="O55" s="11">
        <v>300</v>
      </c>
      <c r="P55" s="11">
        <v>25</v>
      </c>
      <c r="Q55" s="11">
        <v>16</v>
      </c>
      <c r="R55" s="11" t="s">
        <v>8</v>
      </c>
      <c r="S55" s="11">
        <v>34</v>
      </c>
      <c r="T55" s="11">
        <v>0</v>
      </c>
      <c r="U55" s="11">
        <v>0</v>
      </c>
      <c r="W55" s="1">
        <f>IF(N55=Schraubenlänge!$B$3,1,0)</f>
        <v>1</v>
      </c>
      <c r="X55" s="1">
        <f>IF(O55=Schraubenlänge!$C$3,1,0)</f>
        <v>0</v>
      </c>
      <c r="Y55" s="1">
        <f>IF(P55=Schraubenlänge!$D$3,1,0)</f>
        <v>0</v>
      </c>
      <c r="Z55" s="1">
        <f t="shared" si="0"/>
        <v>0</v>
      </c>
    </row>
    <row r="56" spans="14:26" x14ac:dyDescent="0.25">
      <c r="N56" s="1" t="s">
        <v>14</v>
      </c>
      <c r="O56" s="11">
        <v>350</v>
      </c>
      <c r="P56" s="11">
        <v>25</v>
      </c>
      <c r="Q56" s="11">
        <v>16</v>
      </c>
      <c r="R56" s="11" t="s">
        <v>6</v>
      </c>
      <c r="S56" s="11">
        <v>38</v>
      </c>
      <c r="T56" s="11">
        <v>0</v>
      </c>
      <c r="U56" s="11">
        <v>0</v>
      </c>
      <c r="W56" s="1">
        <f>IF(N56=Schraubenlänge!$B$3,1,0)</f>
        <v>1</v>
      </c>
      <c r="X56" s="1">
        <f>IF(O56=Schraubenlänge!$C$3,1,0)</f>
        <v>0</v>
      </c>
      <c r="Y56" s="1">
        <f>IF(P56=Schraubenlänge!$D$3,1,0)</f>
        <v>0</v>
      </c>
      <c r="Z56" s="1">
        <f t="shared" si="0"/>
        <v>0</v>
      </c>
    </row>
    <row r="57" spans="14:26" x14ac:dyDescent="0.25">
      <c r="N57" s="1" t="s">
        <v>14</v>
      </c>
      <c r="O57" s="11">
        <v>400</v>
      </c>
      <c r="P57" s="11">
        <v>25</v>
      </c>
      <c r="Q57" s="11">
        <v>16</v>
      </c>
      <c r="R57" s="11" t="s">
        <v>11</v>
      </c>
      <c r="S57" s="11">
        <v>40</v>
      </c>
      <c r="T57" s="11">
        <v>0</v>
      </c>
      <c r="U57" s="11">
        <v>0</v>
      </c>
      <c r="W57" s="1">
        <f>IF(N57=Schraubenlänge!$B$3,1,0)</f>
        <v>1</v>
      </c>
      <c r="X57" s="1">
        <f>IF(O57=Schraubenlänge!$C$3,1,0)</f>
        <v>0</v>
      </c>
      <c r="Y57" s="1">
        <f>IF(P57=Schraubenlänge!$D$3,1,0)</f>
        <v>0</v>
      </c>
      <c r="Z57" s="1">
        <f t="shared" si="0"/>
        <v>0</v>
      </c>
    </row>
    <row r="58" spans="14:26" x14ac:dyDescent="0.25">
      <c r="N58" s="1" t="s">
        <v>14</v>
      </c>
      <c r="O58" s="11">
        <v>500</v>
      </c>
      <c r="P58" s="11">
        <v>25</v>
      </c>
      <c r="Q58" s="11">
        <v>20</v>
      </c>
      <c r="R58" s="11" t="s">
        <v>11</v>
      </c>
      <c r="S58" s="11">
        <v>44</v>
      </c>
      <c r="T58" s="11">
        <v>0</v>
      </c>
      <c r="U58" s="11">
        <v>0</v>
      </c>
      <c r="W58" s="1">
        <f>IF(N58=Schraubenlänge!$B$3,1,0)</f>
        <v>1</v>
      </c>
      <c r="X58" s="1">
        <f>IF(O58=Schraubenlänge!$C$3,1,0)</f>
        <v>0</v>
      </c>
      <c r="Y58" s="1">
        <f>IF(P58=Schraubenlänge!$D$3,1,0)</f>
        <v>0</v>
      </c>
      <c r="Z58" s="1">
        <f t="shared" si="0"/>
        <v>0</v>
      </c>
    </row>
    <row r="59" spans="14:26" x14ac:dyDescent="0.25">
      <c r="N59" s="1" t="s">
        <v>14</v>
      </c>
      <c r="O59" s="11">
        <v>10</v>
      </c>
      <c r="P59" s="11">
        <v>40</v>
      </c>
      <c r="Q59" s="11">
        <v>4</v>
      </c>
      <c r="R59" s="11" t="s">
        <v>9</v>
      </c>
      <c r="S59" s="11">
        <v>16</v>
      </c>
      <c r="T59" s="11">
        <v>0</v>
      </c>
      <c r="U59" s="11">
        <v>0</v>
      </c>
      <c r="W59" s="1">
        <f>IF(N59=Schraubenlänge!$B$3,1,0)</f>
        <v>1</v>
      </c>
      <c r="X59" s="1">
        <f>IF(O59=Schraubenlänge!$C$3,1,0)</f>
        <v>0</v>
      </c>
      <c r="Y59" s="1">
        <f>IF(P59=Schraubenlänge!$D$3,1,0)</f>
        <v>1</v>
      </c>
      <c r="Z59" s="1">
        <f t="shared" si="0"/>
        <v>0</v>
      </c>
    </row>
    <row r="60" spans="14:26" x14ac:dyDescent="0.25">
      <c r="N60" s="1" t="s">
        <v>14</v>
      </c>
      <c r="O60" s="11">
        <v>15</v>
      </c>
      <c r="P60" s="11">
        <v>40</v>
      </c>
      <c r="Q60" s="11">
        <v>4</v>
      </c>
      <c r="R60" s="11" t="s">
        <v>9</v>
      </c>
      <c r="S60" s="11">
        <v>16</v>
      </c>
      <c r="T60" s="11">
        <v>0</v>
      </c>
      <c r="U60" s="11">
        <v>0</v>
      </c>
      <c r="W60" s="1">
        <f>IF(N60=Schraubenlänge!$B$3,1,0)</f>
        <v>1</v>
      </c>
      <c r="X60" s="1">
        <f>IF(O60=Schraubenlänge!$C$3,1,0)</f>
        <v>0</v>
      </c>
      <c r="Y60" s="1">
        <f>IF(P60=Schraubenlänge!$D$3,1,0)</f>
        <v>1</v>
      </c>
      <c r="Z60" s="1">
        <f t="shared" si="0"/>
        <v>0</v>
      </c>
    </row>
    <row r="61" spans="14:26" x14ac:dyDescent="0.25">
      <c r="N61" s="1" t="s">
        <v>14</v>
      </c>
      <c r="O61" s="11">
        <v>20</v>
      </c>
      <c r="P61" s="11">
        <v>40</v>
      </c>
      <c r="Q61" s="11">
        <v>4</v>
      </c>
      <c r="R61" s="11" t="s">
        <v>9</v>
      </c>
      <c r="S61" s="11">
        <v>18</v>
      </c>
      <c r="T61" s="11">
        <v>0</v>
      </c>
      <c r="U61" s="11">
        <v>0</v>
      </c>
      <c r="W61" s="1">
        <f>IF(N61=Schraubenlänge!$B$3,1,0)</f>
        <v>1</v>
      </c>
      <c r="X61" s="1">
        <f>IF(O61=Schraubenlänge!$C$3,1,0)</f>
        <v>0</v>
      </c>
      <c r="Y61" s="1">
        <f>IF(P61=Schraubenlänge!$D$3,1,0)</f>
        <v>1</v>
      </c>
      <c r="Z61" s="1">
        <f t="shared" si="0"/>
        <v>0</v>
      </c>
    </row>
    <row r="62" spans="14:26" x14ac:dyDescent="0.25">
      <c r="N62" s="1" t="s">
        <v>14</v>
      </c>
      <c r="O62" s="11">
        <v>25</v>
      </c>
      <c r="P62" s="11">
        <v>40</v>
      </c>
      <c r="Q62" s="11">
        <v>4</v>
      </c>
      <c r="R62" s="11" t="s">
        <v>9</v>
      </c>
      <c r="S62" s="11">
        <v>18</v>
      </c>
      <c r="T62" s="11">
        <v>0</v>
      </c>
      <c r="U62" s="11">
        <v>0</v>
      </c>
      <c r="W62" s="1">
        <f>IF(N62=Schraubenlänge!$B$3,1,0)</f>
        <v>1</v>
      </c>
      <c r="X62" s="1">
        <f>IF(O62=Schraubenlänge!$C$3,1,0)</f>
        <v>0</v>
      </c>
      <c r="Y62" s="1">
        <f>IF(P62=Schraubenlänge!$D$3,1,0)</f>
        <v>1</v>
      </c>
      <c r="Z62" s="1">
        <f t="shared" si="0"/>
        <v>0</v>
      </c>
    </row>
    <row r="63" spans="14:26" x14ac:dyDescent="0.25">
      <c r="N63" s="1" t="s">
        <v>14</v>
      </c>
      <c r="O63" s="11">
        <v>32</v>
      </c>
      <c r="P63" s="11">
        <v>40</v>
      </c>
      <c r="Q63" s="11">
        <v>4</v>
      </c>
      <c r="R63" s="11" t="s">
        <v>10</v>
      </c>
      <c r="S63" s="11">
        <v>18</v>
      </c>
      <c r="T63" s="11">
        <v>0</v>
      </c>
      <c r="U63" s="11">
        <v>0</v>
      </c>
      <c r="W63" s="1">
        <f>IF(N63=Schraubenlänge!$B$3,1,0)</f>
        <v>1</v>
      </c>
      <c r="X63" s="1">
        <f>IF(O63=Schraubenlänge!$C$3,1,0)</f>
        <v>0</v>
      </c>
      <c r="Y63" s="1">
        <f>IF(P63=Schraubenlänge!$D$3,1,0)</f>
        <v>1</v>
      </c>
      <c r="Z63" s="1">
        <f t="shared" si="0"/>
        <v>0</v>
      </c>
    </row>
    <row r="64" spans="14:26" x14ac:dyDescent="0.25">
      <c r="N64" s="1" t="s">
        <v>14</v>
      </c>
      <c r="O64" s="11">
        <v>40</v>
      </c>
      <c r="P64" s="11">
        <v>40</v>
      </c>
      <c r="Q64" s="11">
        <v>4</v>
      </c>
      <c r="R64" s="11" t="s">
        <v>10</v>
      </c>
      <c r="S64" s="11">
        <v>18</v>
      </c>
      <c r="T64" s="11">
        <v>0</v>
      </c>
      <c r="U64" s="11">
        <v>0</v>
      </c>
      <c r="W64" s="1">
        <f>IF(N64=Schraubenlänge!$B$3,1,0)</f>
        <v>1</v>
      </c>
      <c r="X64" s="1">
        <f>IF(O64=Schraubenlänge!$C$3,1,0)</f>
        <v>0</v>
      </c>
      <c r="Y64" s="1">
        <f>IF(P64=Schraubenlänge!$D$3,1,0)</f>
        <v>1</v>
      </c>
      <c r="Z64" s="1">
        <f t="shared" si="0"/>
        <v>0</v>
      </c>
    </row>
    <row r="65" spans="14:26" x14ac:dyDescent="0.25">
      <c r="N65" s="1" t="s">
        <v>14</v>
      </c>
      <c r="O65" s="11">
        <v>50</v>
      </c>
      <c r="P65" s="11">
        <v>40</v>
      </c>
      <c r="Q65" s="11">
        <v>4</v>
      </c>
      <c r="R65" s="11" t="s">
        <v>10</v>
      </c>
      <c r="S65" s="11">
        <v>20</v>
      </c>
      <c r="T65" s="11">
        <v>0</v>
      </c>
      <c r="U65" s="11">
        <v>0</v>
      </c>
      <c r="W65" s="1">
        <f>IF(N65=Schraubenlänge!$B$3,1,0)</f>
        <v>1</v>
      </c>
      <c r="X65" s="1">
        <f>IF(O65=Schraubenlänge!$C$3,1,0)</f>
        <v>0</v>
      </c>
      <c r="Y65" s="1">
        <f>IF(P65=Schraubenlänge!$D$3,1,0)</f>
        <v>1</v>
      </c>
      <c r="Z65" s="1">
        <f t="shared" si="0"/>
        <v>0</v>
      </c>
    </row>
    <row r="66" spans="14:26" x14ac:dyDescent="0.25">
      <c r="N66" s="1" t="s">
        <v>14</v>
      </c>
      <c r="O66" s="11">
        <v>65</v>
      </c>
      <c r="P66" s="11">
        <v>40</v>
      </c>
      <c r="Q66" s="11">
        <v>8</v>
      </c>
      <c r="R66" s="11" t="s">
        <v>10</v>
      </c>
      <c r="S66" s="11">
        <v>22</v>
      </c>
      <c r="T66" s="11">
        <v>0</v>
      </c>
      <c r="U66" s="11">
        <v>0</v>
      </c>
      <c r="W66" s="1">
        <f>IF(N66=Schraubenlänge!$B$3,1,0)</f>
        <v>1</v>
      </c>
      <c r="X66" s="1">
        <f>IF(O66=Schraubenlänge!$C$3,1,0)</f>
        <v>0</v>
      </c>
      <c r="Y66" s="1">
        <f>IF(P66=Schraubenlänge!$D$3,1,0)</f>
        <v>1</v>
      </c>
      <c r="Z66" s="1">
        <f t="shared" si="0"/>
        <v>0</v>
      </c>
    </row>
    <row r="67" spans="14:26" x14ac:dyDescent="0.25">
      <c r="N67" s="1" t="s">
        <v>14</v>
      </c>
      <c r="O67" s="11">
        <v>80</v>
      </c>
      <c r="P67" s="11">
        <v>40</v>
      </c>
      <c r="Q67" s="11">
        <v>8</v>
      </c>
      <c r="R67" s="11" t="s">
        <v>10</v>
      </c>
      <c r="S67" s="11">
        <v>24</v>
      </c>
      <c r="T67" s="11">
        <v>0</v>
      </c>
      <c r="U67" s="11">
        <v>0</v>
      </c>
      <c r="W67" s="1">
        <f>IF(N67=Schraubenlänge!$B$3,1,0)</f>
        <v>1</v>
      </c>
      <c r="X67" s="1">
        <f>IF(O67=Schraubenlänge!$C$3,1,0)</f>
        <v>0</v>
      </c>
      <c r="Y67" s="1">
        <f>IF(P67=Schraubenlänge!$D$3,1,0)</f>
        <v>1</v>
      </c>
      <c r="Z67" s="1">
        <f t="shared" si="0"/>
        <v>0</v>
      </c>
    </row>
    <row r="68" spans="14:26" x14ac:dyDescent="0.25">
      <c r="N68" s="1" t="s">
        <v>14</v>
      </c>
      <c r="O68" s="11">
        <v>100</v>
      </c>
      <c r="P68" s="11">
        <v>40</v>
      </c>
      <c r="Q68" s="11">
        <v>8</v>
      </c>
      <c r="R68" s="11" t="s">
        <v>5</v>
      </c>
      <c r="S68" s="11">
        <v>24</v>
      </c>
      <c r="T68" s="11">
        <v>0</v>
      </c>
      <c r="U68" s="11">
        <v>0</v>
      </c>
      <c r="W68" s="1">
        <f>IF(N68=Schraubenlänge!$B$3,1,0)</f>
        <v>1</v>
      </c>
      <c r="X68" s="1">
        <f>IF(O68=Schraubenlänge!$C$3,1,0)</f>
        <v>0</v>
      </c>
      <c r="Y68" s="1">
        <f>IF(P68=Schraubenlänge!$D$3,1,0)</f>
        <v>1</v>
      </c>
      <c r="Z68" s="1">
        <f t="shared" ref="Z68:Z74" si="1">W68*X68*Y68</f>
        <v>0</v>
      </c>
    </row>
    <row r="69" spans="14:26" x14ac:dyDescent="0.25">
      <c r="N69" s="1" t="s">
        <v>14</v>
      </c>
      <c r="O69" s="11">
        <v>125</v>
      </c>
      <c r="P69" s="11">
        <v>40</v>
      </c>
      <c r="Q69" s="11">
        <v>8</v>
      </c>
      <c r="R69" s="11" t="s">
        <v>7</v>
      </c>
      <c r="S69" s="11">
        <v>26</v>
      </c>
      <c r="T69" s="11">
        <v>0</v>
      </c>
      <c r="U69" s="11">
        <v>0</v>
      </c>
      <c r="W69" s="1">
        <f>IF(N69=Schraubenlänge!$B$3,1,0)</f>
        <v>1</v>
      </c>
      <c r="X69" s="1">
        <f>IF(O69=Schraubenlänge!$C$3,1,0)</f>
        <v>0</v>
      </c>
      <c r="Y69" s="1">
        <f>IF(P69=Schraubenlänge!$D$3,1,0)</f>
        <v>1</v>
      </c>
      <c r="Z69" s="1">
        <f t="shared" si="1"/>
        <v>0</v>
      </c>
    </row>
    <row r="70" spans="14:26" x14ac:dyDescent="0.25">
      <c r="N70" s="1" t="s">
        <v>14</v>
      </c>
      <c r="O70" s="11">
        <v>150</v>
      </c>
      <c r="P70" s="11">
        <v>40</v>
      </c>
      <c r="Q70" s="11">
        <v>8</v>
      </c>
      <c r="R70" s="11" t="s">
        <v>7</v>
      </c>
      <c r="S70" s="11">
        <v>28</v>
      </c>
      <c r="T70" s="11">
        <v>0</v>
      </c>
      <c r="U70" s="11">
        <v>0</v>
      </c>
      <c r="W70" s="1">
        <f>IF(N70=Schraubenlänge!$B$3,1,0)</f>
        <v>1</v>
      </c>
      <c r="X70" s="1">
        <f>IF(O70=Schraubenlänge!$C$3,1,0)</f>
        <v>1</v>
      </c>
      <c r="Y70" s="1">
        <f>IF(P70=Schraubenlänge!$D$3,1,0)</f>
        <v>1</v>
      </c>
      <c r="Z70" s="1">
        <f t="shared" si="1"/>
        <v>1</v>
      </c>
    </row>
    <row r="71" spans="14:26" x14ac:dyDescent="0.25">
      <c r="N71" s="1" t="s">
        <v>14</v>
      </c>
      <c r="O71" s="11">
        <v>200</v>
      </c>
      <c r="P71" s="11">
        <v>40</v>
      </c>
      <c r="Q71" s="11">
        <v>12</v>
      </c>
      <c r="R71" s="11" t="s">
        <v>8</v>
      </c>
      <c r="S71" s="11">
        <v>34</v>
      </c>
      <c r="T71" s="11">
        <v>0</v>
      </c>
      <c r="U71" s="11">
        <v>0</v>
      </c>
      <c r="W71" s="1">
        <f>IF(N71=Schraubenlänge!$B$3,1,0)</f>
        <v>1</v>
      </c>
      <c r="X71" s="1">
        <f>IF(O71=Schraubenlänge!$C$3,1,0)</f>
        <v>0</v>
      </c>
      <c r="Y71" s="1">
        <f>IF(P71=Schraubenlänge!$D$3,1,0)</f>
        <v>1</v>
      </c>
      <c r="Z71" s="1">
        <f t="shared" si="1"/>
        <v>0</v>
      </c>
    </row>
    <row r="72" spans="14:26" x14ac:dyDescent="0.25">
      <c r="N72" s="1" t="s">
        <v>14</v>
      </c>
      <c r="O72" s="11">
        <v>250</v>
      </c>
      <c r="P72" s="11">
        <v>40</v>
      </c>
      <c r="Q72" s="11">
        <v>12</v>
      </c>
      <c r="R72" s="11" t="s">
        <v>6</v>
      </c>
      <c r="S72" s="11">
        <v>38</v>
      </c>
      <c r="T72" s="11">
        <v>0</v>
      </c>
      <c r="U72" s="11">
        <v>0</v>
      </c>
      <c r="W72" s="1">
        <f>IF(N72=Schraubenlänge!$B$3,1,0)</f>
        <v>1</v>
      </c>
      <c r="X72" s="1">
        <f>IF(O72=Schraubenlänge!$C$3,1,0)</f>
        <v>0</v>
      </c>
      <c r="Y72" s="1">
        <f>IF(P72=Schraubenlänge!$D$3,1,0)</f>
        <v>1</v>
      </c>
      <c r="Z72" s="1">
        <f t="shared" si="1"/>
        <v>0</v>
      </c>
    </row>
    <row r="73" spans="14:26" x14ac:dyDescent="0.25">
      <c r="N73" s="1" t="s">
        <v>14</v>
      </c>
      <c r="O73" s="11">
        <v>300</v>
      </c>
      <c r="P73" s="11">
        <v>40</v>
      </c>
      <c r="Q73" s="11">
        <v>16</v>
      </c>
      <c r="R73" s="11" t="s">
        <v>6</v>
      </c>
      <c r="S73" s="11">
        <v>42</v>
      </c>
      <c r="T73" s="11">
        <v>0</v>
      </c>
      <c r="U73" s="11">
        <v>0</v>
      </c>
      <c r="W73" s="1">
        <f>IF(N73=Schraubenlänge!$B$3,1,0)</f>
        <v>1</v>
      </c>
      <c r="X73" s="1">
        <f>IF(O73=Schraubenlänge!$C$3,1,0)</f>
        <v>0</v>
      </c>
      <c r="Y73" s="1">
        <f>IF(P73=Schraubenlänge!$D$3,1,0)</f>
        <v>1</v>
      </c>
      <c r="Z73" s="1">
        <f t="shared" si="1"/>
        <v>0</v>
      </c>
    </row>
    <row r="74" spans="14:26" x14ac:dyDescent="0.25">
      <c r="N74" s="1" t="s">
        <v>14</v>
      </c>
      <c r="O74" s="11">
        <v>350</v>
      </c>
      <c r="P74" s="11">
        <v>40</v>
      </c>
      <c r="Q74" s="11">
        <v>16</v>
      </c>
      <c r="R74" s="11" t="s">
        <v>11</v>
      </c>
      <c r="S74" s="11">
        <v>46</v>
      </c>
      <c r="T74" s="11">
        <v>0</v>
      </c>
      <c r="U74" s="11">
        <v>0</v>
      </c>
      <c r="W74" s="1">
        <f>IF(N74=Schraubenlänge!$B$3,1,0)</f>
        <v>1</v>
      </c>
      <c r="X74" s="1">
        <f>IF(O74=Schraubenlänge!$C$3,1,0)</f>
        <v>0</v>
      </c>
      <c r="Y74" s="1">
        <f>IF(P74=Schraubenlänge!$D$3,1,0)</f>
        <v>1</v>
      </c>
      <c r="Z74" s="1">
        <f t="shared" si="1"/>
        <v>0</v>
      </c>
    </row>
    <row r="75" spans="14:26" x14ac:dyDescent="0.25">
      <c r="N75" s="1" t="s">
        <v>49</v>
      </c>
      <c r="O75" s="11">
        <v>10</v>
      </c>
      <c r="P75" s="11">
        <v>10</v>
      </c>
      <c r="Q75" s="11">
        <v>4</v>
      </c>
      <c r="R75" s="11" t="s">
        <v>9</v>
      </c>
      <c r="S75" s="11">
        <v>14</v>
      </c>
      <c r="T75" s="11">
        <v>2.5</v>
      </c>
      <c r="U75" s="11">
        <v>0</v>
      </c>
      <c r="W75" s="1">
        <f>IF(N75=Schraubenlänge!$B$3,1,0)</f>
        <v>0</v>
      </c>
      <c r="X75" s="1">
        <f>IF(O75=Schraubenlänge!$C$3,1,0)</f>
        <v>0</v>
      </c>
      <c r="Y75" s="1">
        <f>IF(P75=Schraubenlänge!$D$3,1,0)</f>
        <v>0</v>
      </c>
      <c r="Z75" s="1">
        <f t="shared" ref="Z75:Z106" si="2">W75*X75*Y75</f>
        <v>0</v>
      </c>
    </row>
    <row r="76" spans="14:26" x14ac:dyDescent="0.25">
      <c r="N76" s="1" t="s">
        <v>49</v>
      </c>
      <c r="O76" s="11">
        <v>15</v>
      </c>
      <c r="P76" s="11">
        <v>10</v>
      </c>
      <c r="Q76" s="11">
        <v>4</v>
      </c>
      <c r="R76" s="11" t="s">
        <v>9</v>
      </c>
      <c r="S76" s="11">
        <v>14</v>
      </c>
      <c r="T76" s="11">
        <v>2.5</v>
      </c>
      <c r="U76" s="11">
        <v>0</v>
      </c>
      <c r="W76" s="1">
        <f>IF(N76=Schraubenlänge!$B$3,1,0)</f>
        <v>0</v>
      </c>
      <c r="X76" s="1">
        <f>IF(O76=Schraubenlänge!$C$3,1,0)</f>
        <v>0</v>
      </c>
      <c r="Y76" s="1">
        <f>IF(P76=Schraubenlänge!$D$3,1,0)</f>
        <v>0</v>
      </c>
      <c r="Z76" s="1">
        <f t="shared" si="2"/>
        <v>0</v>
      </c>
    </row>
    <row r="77" spans="14:26" x14ac:dyDescent="0.25">
      <c r="N77" s="1" t="s">
        <v>49</v>
      </c>
      <c r="O77" s="11">
        <v>20</v>
      </c>
      <c r="P77" s="11">
        <v>10</v>
      </c>
      <c r="Q77" s="11">
        <v>4</v>
      </c>
      <c r="R77" s="11" t="s">
        <v>9</v>
      </c>
      <c r="S77" s="11">
        <v>16</v>
      </c>
      <c r="T77" s="11">
        <v>2.5</v>
      </c>
      <c r="U77" s="11">
        <v>0</v>
      </c>
      <c r="W77" s="1">
        <f>IF(N77=Schraubenlänge!$B$3,1,0)</f>
        <v>0</v>
      </c>
      <c r="X77" s="1">
        <f>IF(O77=Schraubenlänge!$C$3,1,0)</f>
        <v>0</v>
      </c>
      <c r="Y77" s="1">
        <f>IF(P77=Schraubenlänge!$D$3,1,0)</f>
        <v>0</v>
      </c>
      <c r="Z77" s="1">
        <f t="shared" si="2"/>
        <v>0</v>
      </c>
    </row>
    <row r="78" spans="14:26" x14ac:dyDescent="0.25">
      <c r="N78" s="1" t="s">
        <v>49</v>
      </c>
      <c r="O78" s="11">
        <v>25</v>
      </c>
      <c r="P78" s="11">
        <v>10</v>
      </c>
      <c r="Q78" s="11">
        <v>4</v>
      </c>
      <c r="R78" s="11" t="s">
        <v>9</v>
      </c>
      <c r="S78" s="11">
        <v>16</v>
      </c>
      <c r="T78" s="11">
        <v>2.5</v>
      </c>
      <c r="U78" s="11">
        <v>0</v>
      </c>
      <c r="W78" s="1">
        <f>IF(N78=Schraubenlänge!$B$3,1,0)</f>
        <v>0</v>
      </c>
      <c r="X78" s="1">
        <f>IF(O78=Schraubenlänge!$C$3,1,0)</f>
        <v>0</v>
      </c>
      <c r="Y78" s="1">
        <f>IF(P78=Schraubenlänge!$D$3,1,0)</f>
        <v>0</v>
      </c>
      <c r="Z78" s="1">
        <f t="shared" si="2"/>
        <v>0</v>
      </c>
    </row>
    <row r="79" spans="14:26" x14ac:dyDescent="0.25">
      <c r="N79" s="1" t="s">
        <v>49</v>
      </c>
      <c r="O79" s="11">
        <v>32</v>
      </c>
      <c r="P79" s="11">
        <v>10</v>
      </c>
      <c r="Q79" s="11">
        <v>4</v>
      </c>
      <c r="R79" s="11" t="s">
        <v>10</v>
      </c>
      <c r="S79" s="11">
        <v>16</v>
      </c>
      <c r="T79" s="11">
        <v>2.5</v>
      </c>
      <c r="U79" s="11">
        <v>0</v>
      </c>
      <c r="W79" s="1">
        <f>IF(N79=Schraubenlänge!$B$3,1,0)</f>
        <v>0</v>
      </c>
      <c r="X79" s="1">
        <f>IF(O79=Schraubenlänge!$C$3,1,0)</f>
        <v>0</v>
      </c>
      <c r="Y79" s="1">
        <f>IF(P79=Schraubenlänge!$D$3,1,0)</f>
        <v>0</v>
      </c>
      <c r="Z79" s="1">
        <f t="shared" si="2"/>
        <v>0</v>
      </c>
    </row>
    <row r="80" spans="14:26" x14ac:dyDescent="0.25">
      <c r="N80" s="1" t="s">
        <v>49</v>
      </c>
      <c r="O80" s="11">
        <v>40</v>
      </c>
      <c r="P80" s="11">
        <v>10</v>
      </c>
      <c r="Q80" s="11">
        <v>4</v>
      </c>
      <c r="R80" s="11" t="s">
        <v>10</v>
      </c>
      <c r="S80" s="11">
        <v>16</v>
      </c>
      <c r="T80" s="11">
        <v>2.5</v>
      </c>
      <c r="U80" s="11">
        <v>0</v>
      </c>
      <c r="W80" s="1">
        <f>IF(N80=Schraubenlänge!$B$3,1,0)</f>
        <v>0</v>
      </c>
      <c r="X80" s="1">
        <f>IF(O80=Schraubenlänge!$C$3,1,0)</f>
        <v>0</v>
      </c>
      <c r="Y80" s="1">
        <f>IF(P80=Schraubenlänge!$D$3,1,0)</f>
        <v>0</v>
      </c>
      <c r="Z80" s="1">
        <f t="shared" si="2"/>
        <v>0</v>
      </c>
    </row>
    <row r="81" spans="14:26" x14ac:dyDescent="0.25">
      <c r="N81" s="1" t="s">
        <v>49</v>
      </c>
      <c r="O81" s="11">
        <v>50</v>
      </c>
      <c r="P81" s="11">
        <v>10</v>
      </c>
      <c r="Q81" s="11">
        <v>4</v>
      </c>
      <c r="R81" s="11" t="s">
        <v>10</v>
      </c>
      <c r="S81" s="11">
        <v>18</v>
      </c>
      <c r="T81" s="11">
        <v>2.5</v>
      </c>
      <c r="U81" s="11">
        <v>0</v>
      </c>
      <c r="W81" s="1">
        <f>IF(N81=Schraubenlänge!$B$3,1,0)</f>
        <v>0</v>
      </c>
      <c r="X81" s="1">
        <f>IF(O81=Schraubenlänge!$C$3,1,0)</f>
        <v>0</v>
      </c>
      <c r="Y81" s="1">
        <f>IF(P81=Schraubenlänge!$D$3,1,0)</f>
        <v>0</v>
      </c>
      <c r="Z81" s="1">
        <f t="shared" si="2"/>
        <v>0</v>
      </c>
    </row>
    <row r="82" spans="14:26" x14ac:dyDescent="0.25">
      <c r="N82" s="1" t="s">
        <v>49</v>
      </c>
      <c r="O82" s="11">
        <v>65</v>
      </c>
      <c r="P82" s="11">
        <v>10</v>
      </c>
      <c r="Q82" s="11">
        <v>4</v>
      </c>
      <c r="R82" s="11" t="s">
        <v>10</v>
      </c>
      <c r="S82" s="11">
        <v>18</v>
      </c>
      <c r="T82" s="11">
        <v>2.5</v>
      </c>
      <c r="U82" s="11">
        <v>0</v>
      </c>
      <c r="W82" s="1">
        <f>IF(N82=Schraubenlänge!$B$3,1,0)</f>
        <v>0</v>
      </c>
      <c r="X82" s="1">
        <f>IF(O82=Schraubenlänge!$C$3,1,0)</f>
        <v>0</v>
      </c>
      <c r="Y82" s="1">
        <f>IF(P82=Schraubenlänge!$D$3,1,0)</f>
        <v>0</v>
      </c>
      <c r="Z82" s="1">
        <f t="shared" si="2"/>
        <v>0</v>
      </c>
    </row>
    <row r="83" spans="14:26" x14ac:dyDescent="0.25">
      <c r="N83" s="1" t="s">
        <v>49</v>
      </c>
      <c r="O83" s="11">
        <v>80</v>
      </c>
      <c r="P83" s="11">
        <v>10</v>
      </c>
      <c r="Q83" s="11">
        <v>8</v>
      </c>
      <c r="R83" s="11" t="s">
        <v>10</v>
      </c>
      <c r="S83" s="11">
        <v>20</v>
      </c>
      <c r="T83" s="11">
        <v>2.5</v>
      </c>
      <c r="U83" s="11">
        <v>0</v>
      </c>
      <c r="W83" s="1">
        <f>IF(N83=Schraubenlänge!$B$3,1,0)</f>
        <v>0</v>
      </c>
      <c r="X83" s="1">
        <f>IF(O83=Schraubenlänge!$C$3,1,0)</f>
        <v>0</v>
      </c>
      <c r="Y83" s="1">
        <f>IF(P83=Schraubenlänge!$D$3,1,0)</f>
        <v>0</v>
      </c>
      <c r="Z83" s="1">
        <f t="shared" si="2"/>
        <v>0</v>
      </c>
    </row>
    <row r="84" spans="14:26" x14ac:dyDescent="0.25">
      <c r="N84" s="1" t="s">
        <v>49</v>
      </c>
      <c r="O84" s="11">
        <v>100</v>
      </c>
      <c r="P84" s="11">
        <v>10</v>
      </c>
      <c r="Q84" s="11">
        <v>8</v>
      </c>
      <c r="R84" s="11" t="s">
        <v>10</v>
      </c>
      <c r="S84" s="11">
        <v>20</v>
      </c>
      <c r="T84" s="11">
        <v>3</v>
      </c>
      <c r="U84" s="11">
        <v>0</v>
      </c>
      <c r="W84" s="1">
        <f>IF(N84=Schraubenlänge!$B$3,1,0)</f>
        <v>0</v>
      </c>
      <c r="X84" s="1">
        <f>IF(O84=Schraubenlänge!$C$3,1,0)</f>
        <v>0</v>
      </c>
      <c r="Y84" s="1">
        <f>IF(P84=Schraubenlänge!$D$3,1,0)</f>
        <v>0</v>
      </c>
      <c r="Z84" s="1">
        <f t="shared" si="2"/>
        <v>0</v>
      </c>
    </row>
    <row r="85" spans="14:26" x14ac:dyDescent="0.25">
      <c r="N85" s="1" t="s">
        <v>49</v>
      </c>
      <c r="O85" s="11">
        <v>125</v>
      </c>
      <c r="P85" s="11">
        <v>10</v>
      </c>
      <c r="Q85" s="11">
        <v>8</v>
      </c>
      <c r="R85" s="11" t="s">
        <v>10</v>
      </c>
      <c r="S85" s="11">
        <v>22</v>
      </c>
      <c r="T85" s="11">
        <v>3</v>
      </c>
      <c r="U85" s="11">
        <v>0</v>
      </c>
      <c r="W85" s="1">
        <f>IF(N85=Schraubenlänge!$B$3,1,0)</f>
        <v>0</v>
      </c>
      <c r="X85" s="1">
        <f>IF(O85=Schraubenlänge!$C$3,1,0)</f>
        <v>0</v>
      </c>
      <c r="Y85" s="1">
        <f>IF(P85=Schraubenlänge!$D$3,1,0)</f>
        <v>0</v>
      </c>
      <c r="Z85" s="1">
        <f t="shared" si="2"/>
        <v>0</v>
      </c>
    </row>
    <row r="86" spans="14:26" x14ac:dyDescent="0.25">
      <c r="N86" s="1" t="s">
        <v>49</v>
      </c>
      <c r="O86" s="11">
        <v>150</v>
      </c>
      <c r="P86" s="11">
        <v>10</v>
      </c>
      <c r="Q86" s="11">
        <v>8</v>
      </c>
      <c r="R86" s="11" t="s">
        <v>5</v>
      </c>
      <c r="S86" s="11">
        <v>22</v>
      </c>
      <c r="T86" s="11">
        <v>3</v>
      </c>
      <c r="U86" s="11">
        <v>0</v>
      </c>
      <c r="W86" s="1">
        <f>IF(N86=Schraubenlänge!$B$3,1,0)</f>
        <v>0</v>
      </c>
      <c r="X86" s="1">
        <f>IF(O86=Schraubenlänge!$C$3,1,0)</f>
        <v>1</v>
      </c>
      <c r="Y86" s="1">
        <f>IF(P86=Schraubenlänge!$D$3,1,0)</f>
        <v>0</v>
      </c>
      <c r="Z86" s="1">
        <f t="shared" si="2"/>
        <v>0</v>
      </c>
    </row>
    <row r="87" spans="14:26" x14ac:dyDescent="0.25">
      <c r="N87" s="1" t="s">
        <v>49</v>
      </c>
      <c r="O87" s="11">
        <v>200</v>
      </c>
      <c r="P87" s="11">
        <v>10</v>
      </c>
      <c r="Q87" s="11">
        <v>8</v>
      </c>
      <c r="R87" s="11" t="s">
        <v>5</v>
      </c>
      <c r="S87" s="11">
        <v>24</v>
      </c>
      <c r="T87" s="11">
        <v>3</v>
      </c>
      <c r="U87" s="11">
        <v>0</v>
      </c>
      <c r="W87" s="1">
        <f>IF(N87=Schraubenlänge!$B$3,1,0)</f>
        <v>0</v>
      </c>
      <c r="X87" s="1">
        <f>IF(O87=Schraubenlänge!$C$3,1,0)</f>
        <v>0</v>
      </c>
      <c r="Y87" s="1">
        <f>IF(P87=Schraubenlänge!$D$3,1,0)</f>
        <v>0</v>
      </c>
      <c r="Z87" s="1">
        <f t="shared" si="2"/>
        <v>0</v>
      </c>
    </row>
    <row r="88" spans="14:26" x14ac:dyDescent="0.25">
      <c r="N88" s="1" t="s">
        <v>49</v>
      </c>
      <c r="O88" s="11">
        <v>250</v>
      </c>
      <c r="P88" s="11">
        <v>10</v>
      </c>
      <c r="Q88" s="11">
        <v>12</v>
      </c>
      <c r="R88" s="11" t="s">
        <v>5</v>
      </c>
      <c r="S88" s="11">
        <v>26</v>
      </c>
      <c r="T88" s="11">
        <v>3</v>
      </c>
      <c r="U88" s="11">
        <v>0</v>
      </c>
      <c r="W88" s="1">
        <f>IF(N88=Schraubenlänge!$B$3,1,0)</f>
        <v>0</v>
      </c>
      <c r="X88" s="1">
        <f>IF(O88=Schraubenlänge!$C$3,1,0)</f>
        <v>0</v>
      </c>
      <c r="Y88" s="1">
        <f>IF(P88=Schraubenlänge!$D$3,1,0)</f>
        <v>0</v>
      </c>
      <c r="Z88" s="1">
        <f t="shared" si="2"/>
        <v>0</v>
      </c>
    </row>
    <row r="89" spans="14:26" x14ac:dyDescent="0.25">
      <c r="N89" s="1" t="s">
        <v>49</v>
      </c>
      <c r="O89" s="11">
        <v>300</v>
      </c>
      <c r="P89" s="11">
        <v>10</v>
      </c>
      <c r="Q89" s="11">
        <v>12</v>
      </c>
      <c r="R89" s="11" t="s">
        <v>5</v>
      </c>
      <c r="S89" s="11">
        <v>26</v>
      </c>
      <c r="T89" s="11">
        <v>3</v>
      </c>
      <c r="U89" s="11">
        <v>0</v>
      </c>
      <c r="W89" s="1">
        <f>IF(N89=Schraubenlänge!$B$3,1,0)</f>
        <v>0</v>
      </c>
      <c r="X89" s="1">
        <f>IF(O89=Schraubenlänge!$C$3,1,0)</f>
        <v>0</v>
      </c>
      <c r="Y89" s="1">
        <f>IF(P89=Schraubenlänge!$D$3,1,0)</f>
        <v>0</v>
      </c>
      <c r="Z89" s="1">
        <f t="shared" si="2"/>
        <v>0</v>
      </c>
    </row>
    <row r="90" spans="14:26" x14ac:dyDescent="0.25">
      <c r="N90" s="1" t="s">
        <v>49</v>
      </c>
      <c r="O90" s="11">
        <v>350</v>
      </c>
      <c r="P90" s="11">
        <v>10</v>
      </c>
      <c r="Q90" s="11">
        <v>16</v>
      </c>
      <c r="R90" s="11" t="s">
        <v>5</v>
      </c>
      <c r="S90" s="11">
        <v>26</v>
      </c>
      <c r="T90" s="11">
        <v>3.5</v>
      </c>
      <c r="U90" s="11">
        <v>0</v>
      </c>
      <c r="W90" s="1">
        <f>IF(N90=Schraubenlänge!$B$3,1,0)</f>
        <v>0</v>
      </c>
      <c r="X90" s="1">
        <f>IF(O90=Schraubenlänge!$C$3,1,0)</f>
        <v>0</v>
      </c>
      <c r="Y90" s="1">
        <f>IF(P90=Schraubenlänge!$D$3,1,0)</f>
        <v>0</v>
      </c>
      <c r="Z90" s="1">
        <f t="shared" si="2"/>
        <v>0</v>
      </c>
    </row>
    <row r="91" spans="14:26" x14ac:dyDescent="0.25">
      <c r="N91" s="1" t="s">
        <v>49</v>
      </c>
      <c r="O91" s="11">
        <v>400</v>
      </c>
      <c r="P91" s="11">
        <v>10</v>
      </c>
      <c r="Q91" s="11">
        <v>16</v>
      </c>
      <c r="R91" s="11" t="s">
        <v>7</v>
      </c>
      <c r="S91" s="11">
        <v>26</v>
      </c>
      <c r="T91" s="11">
        <v>3.5</v>
      </c>
      <c r="U91" s="11">
        <v>0</v>
      </c>
      <c r="W91" s="1">
        <f>IF(N91=Schraubenlänge!$B$3,1,0)</f>
        <v>0</v>
      </c>
      <c r="X91" s="1">
        <f>IF(O91=Schraubenlänge!$C$3,1,0)</f>
        <v>0</v>
      </c>
      <c r="Y91" s="1">
        <f>IF(P91=Schraubenlänge!$D$3,1,0)</f>
        <v>0</v>
      </c>
      <c r="Z91" s="1">
        <f t="shared" si="2"/>
        <v>0</v>
      </c>
    </row>
    <row r="92" spans="14:26" x14ac:dyDescent="0.25">
      <c r="N92" s="1" t="s">
        <v>49</v>
      </c>
      <c r="O92" s="11">
        <v>500</v>
      </c>
      <c r="P92" s="11">
        <v>10</v>
      </c>
      <c r="Q92" s="11">
        <v>20</v>
      </c>
      <c r="R92" s="11" t="s">
        <v>7</v>
      </c>
      <c r="S92" s="11">
        <v>28</v>
      </c>
      <c r="T92" s="11">
        <v>3.5</v>
      </c>
      <c r="U92" s="11">
        <v>0</v>
      </c>
      <c r="W92" s="1">
        <f>IF(N92=Schraubenlänge!$B$3,1,0)</f>
        <v>0</v>
      </c>
      <c r="X92" s="1">
        <f>IF(O92=Schraubenlänge!$C$3,1,0)</f>
        <v>0</v>
      </c>
      <c r="Y92" s="1">
        <f>IF(P92=Schraubenlänge!$D$3,1,0)</f>
        <v>0</v>
      </c>
      <c r="Z92" s="1">
        <f t="shared" si="2"/>
        <v>0</v>
      </c>
    </row>
    <row r="93" spans="14:26" x14ac:dyDescent="0.25">
      <c r="N93" s="1" t="s">
        <v>49</v>
      </c>
      <c r="O93" s="11">
        <v>600</v>
      </c>
      <c r="P93" s="11">
        <v>10</v>
      </c>
      <c r="Q93" s="11">
        <v>20</v>
      </c>
      <c r="R93" s="11" t="s">
        <v>8</v>
      </c>
      <c r="S93" s="11">
        <v>28</v>
      </c>
      <c r="T93" s="11">
        <v>3.5</v>
      </c>
      <c r="U93" s="11">
        <v>0</v>
      </c>
      <c r="W93" s="1">
        <f>IF(N93=Schraubenlänge!$B$3,1,0)</f>
        <v>0</v>
      </c>
      <c r="X93" s="1">
        <f>IF(O93=Schraubenlänge!$C$3,1,0)</f>
        <v>0</v>
      </c>
      <c r="Y93" s="1">
        <f>IF(P93=Schraubenlänge!$D$3,1,0)</f>
        <v>0</v>
      </c>
      <c r="Z93" s="1">
        <f t="shared" si="2"/>
        <v>0</v>
      </c>
    </row>
    <row r="94" spans="14:26" x14ac:dyDescent="0.25">
      <c r="N94" s="1" t="s">
        <v>49</v>
      </c>
      <c r="O94" s="11">
        <v>10</v>
      </c>
      <c r="P94" s="11">
        <v>16</v>
      </c>
      <c r="Q94" s="11">
        <v>4</v>
      </c>
      <c r="R94" s="11" t="s">
        <v>9</v>
      </c>
      <c r="S94" s="11">
        <v>14</v>
      </c>
      <c r="T94" s="11">
        <v>2.5</v>
      </c>
      <c r="U94" s="11">
        <v>0</v>
      </c>
      <c r="W94" s="1">
        <f>IF(N94=Schraubenlänge!$B$3,1,0)</f>
        <v>0</v>
      </c>
      <c r="X94" s="1">
        <f>IF(O94=Schraubenlänge!$C$3,1,0)</f>
        <v>0</v>
      </c>
      <c r="Y94" s="1">
        <f>IF(P94=Schraubenlänge!$D$3,1,0)</f>
        <v>0</v>
      </c>
      <c r="Z94" s="1">
        <f t="shared" si="2"/>
        <v>0</v>
      </c>
    </row>
    <row r="95" spans="14:26" x14ac:dyDescent="0.25">
      <c r="N95" s="1" t="s">
        <v>49</v>
      </c>
      <c r="O95" s="11">
        <v>15</v>
      </c>
      <c r="P95" s="11">
        <v>16</v>
      </c>
      <c r="Q95" s="11">
        <v>4</v>
      </c>
      <c r="R95" s="11" t="s">
        <v>9</v>
      </c>
      <c r="S95" s="11">
        <v>14</v>
      </c>
      <c r="T95" s="11">
        <v>2.5</v>
      </c>
      <c r="U95" s="11">
        <v>0</v>
      </c>
      <c r="W95" s="1">
        <f>IF(N95=Schraubenlänge!$B$3,1,0)</f>
        <v>0</v>
      </c>
      <c r="X95" s="1">
        <f>IF(O95=Schraubenlänge!$C$3,1,0)</f>
        <v>0</v>
      </c>
      <c r="Y95" s="1">
        <f>IF(P95=Schraubenlänge!$D$3,1,0)</f>
        <v>0</v>
      </c>
      <c r="Z95" s="1">
        <f t="shared" si="2"/>
        <v>0</v>
      </c>
    </row>
    <row r="96" spans="14:26" x14ac:dyDescent="0.25">
      <c r="N96" s="1" t="s">
        <v>49</v>
      </c>
      <c r="O96" s="11">
        <v>20</v>
      </c>
      <c r="P96" s="11">
        <v>16</v>
      </c>
      <c r="Q96" s="11">
        <v>4</v>
      </c>
      <c r="R96" s="11" t="s">
        <v>9</v>
      </c>
      <c r="S96" s="11">
        <v>16</v>
      </c>
      <c r="T96" s="11">
        <v>2.5</v>
      </c>
      <c r="U96" s="11">
        <v>0</v>
      </c>
      <c r="W96" s="1">
        <f>IF(N96=Schraubenlänge!$B$3,1,0)</f>
        <v>0</v>
      </c>
      <c r="X96" s="1">
        <f>IF(O96=Schraubenlänge!$C$3,1,0)</f>
        <v>0</v>
      </c>
      <c r="Y96" s="1">
        <f>IF(P96=Schraubenlänge!$D$3,1,0)</f>
        <v>0</v>
      </c>
      <c r="Z96" s="1">
        <f t="shared" si="2"/>
        <v>0</v>
      </c>
    </row>
    <row r="97" spans="14:26" x14ac:dyDescent="0.25">
      <c r="N97" s="1" t="s">
        <v>49</v>
      </c>
      <c r="O97" s="11">
        <v>25</v>
      </c>
      <c r="P97" s="11">
        <v>16</v>
      </c>
      <c r="Q97" s="11">
        <v>4</v>
      </c>
      <c r="R97" s="11" t="s">
        <v>9</v>
      </c>
      <c r="S97" s="11">
        <v>16</v>
      </c>
      <c r="T97" s="11">
        <v>2.5</v>
      </c>
      <c r="U97" s="11">
        <v>0</v>
      </c>
      <c r="W97" s="1">
        <f>IF(N97=Schraubenlänge!$B$3,1,0)</f>
        <v>0</v>
      </c>
      <c r="X97" s="1">
        <f>IF(O97=Schraubenlänge!$C$3,1,0)</f>
        <v>0</v>
      </c>
      <c r="Y97" s="1">
        <f>IF(P97=Schraubenlänge!$D$3,1,0)</f>
        <v>0</v>
      </c>
      <c r="Z97" s="1">
        <f t="shared" si="2"/>
        <v>0</v>
      </c>
    </row>
    <row r="98" spans="14:26" x14ac:dyDescent="0.25">
      <c r="N98" s="1" t="s">
        <v>49</v>
      </c>
      <c r="O98" s="11">
        <v>32</v>
      </c>
      <c r="P98" s="11">
        <v>16</v>
      </c>
      <c r="Q98" s="11">
        <v>4</v>
      </c>
      <c r="R98" s="11" t="s">
        <v>10</v>
      </c>
      <c r="S98" s="11">
        <v>16</v>
      </c>
      <c r="T98" s="11">
        <v>2.5</v>
      </c>
      <c r="U98" s="11">
        <v>0</v>
      </c>
      <c r="W98" s="1">
        <f>IF(N98=Schraubenlänge!$B$3,1,0)</f>
        <v>0</v>
      </c>
      <c r="X98" s="1">
        <f>IF(O98=Schraubenlänge!$C$3,1,0)</f>
        <v>0</v>
      </c>
      <c r="Y98" s="1">
        <f>IF(P98=Schraubenlänge!$D$3,1,0)</f>
        <v>0</v>
      </c>
      <c r="Z98" s="1">
        <f t="shared" si="2"/>
        <v>0</v>
      </c>
    </row>
    <row r="99" spans="14:26" x14ac:dyDescent="0.25">
      <c r="N99" s="1" t="s">
        <v>49</v>
      </c>
      <c r="O99" s="11">
        <v>40</v>
      </c>
      <c r="P99" s="11">
        <v>16</v>
      </c>
      <c r="Q99" s="11">
        <v>4</v>
      </c>
      <c r="R99" s="11" t="s">
        <v>10</v>
      </c>
      <c r="S99" s="11">
        <v>16</v>
      </c>
      <c r="T99" s="11">
        <v>2.5</v>
      </c>
      <c r="U99" s="11">
        <v>0</v>
      </c>
      <c r="W99" s="1">
        <f>IF(N99=Schraubenlänge!$B$3,1,0)</f>
        <v>0</v>
      </c>
      <c r="X99" s="1">
        <f>IF(O99=Schraubenlänge!$C$3,1,0)</f>
        <v>0</v>
      </c>
      <c r="Y99" s="1">
        <f>IF(P99=Schraubenlänge!$D$3,1,0)</f>
        <v>0</v>
      </c>
      <c r="Z99" s="1">
        <f t="shared" si="2"/>
        <v>0</v>
      </c>
    </row>
    <row r="100" spans="14:26" x14ac:dyDescent="0.25">
      <c r="N100" s="1" t="s">
        <v>49</v>
      </c>
      <c r="O100" s="11">
        <v>50</v>
      </c>
      <c r="P100" s="11">
        <v>16</v>
      </c>
      <c r="Q100" s="11">
        <v>4</v>
      </c>
      <c r="R100" s="11" t="s">
        <v>10</v>
      </c>
      <c r="S100" s="11">
        <v>18</v>
      </c>
      <c r="T100" s="11">
        <v>2.5</v>
      </c>
      <c r="U100" s="11">
        <v>0</v>
      </c>
      <c r="W100" s="1">
        <f>IF(N100=Schraubenlänge!$B$3,1,0)</f>
        <v>0</v>
      </c>
      <c r="X100" s="1">
        <f>IF(O100=Schraubenlänge!$C$3,1,0)</f>
        <v>0</v>
      </c>
      <c r="Y100" s="1">
        <f>IF(P100=Schraubenlänge!$D$3,1,0)</f>
        <v>0</v>
      </c>
      <c r="Z100" s="1">
        <f t="shared" si="2"/>
        <v>0</v>
      </c>
    </row>
    <row r="101" spans="14:26" x14ac:dyDescent="0.25">
      <c r="N101" s="1" t="s">
        <v>49</v>
      </c>
      <c r="O101" s="11">
        <v>65</v>
      </c>
      <c r="P101" s="11">
        <v>16</v>
      </c>
      <c r="Q101" s="11">
        <v>4</v>
      </c>
      <c r="R101" s="11" t="s">
        <v>10</v>
      </c>
      <c r="S101" s="11">
        <v>18</v>
      </c>
      <c r="T101" s="11">
        <v>2.5</v>
      </c>
      <c r="U101" s="11">
        <v>0</v>
      </c>
      <c r="W101" s="1">
        <f>IF(N101=Schraubenlänge!$B$3,1,0)</f>
        <v>0</v>
      </c>
      <c r="X101" s="1">
        <f>IF(O101=Schraubenlänge!$C$3,1,0)</f>
        <v>0</v>
      </c>
      <c r="Y101" s="1">
        <f>IF(P101=Schraubenlänge!$D$3,1,0)</f>
        <v>0</v>
      </c>
      <c r="Z101" s="1">
        <f t="shared" si="2"/>
        <v>0</v>
      </c>
    </row>
    <row r="102" spans="14:26" x14ac:dyDescent="0.25">
      <c r="N102" s="1" t="s">
        <v>49</v>
      </c>
      <c r="O102" s="11">
        <v>80</v>
      </c>
      <c r="P102" s="11">
        <v>16</v>
      </c>
      <c r="Q102" s="11">
        <v>8</v>
      </c>
      <c r="R102" s="11" t="s">
        <v>10</v>
      </c>
      <c r="S102" s="11">
        <v>20</v>
      </c>
      <c r="T102" s="11">
        <v>2.5</v>
      </c>
      <c r="U102" s="11">
        <v>0</v>
      </c>
      <c r="W102" s="1">
        <f>IF(N102=Schraubenlänge!$B$3,1,0)</f>
        <v>0</v>
      </c>
      <c r="X102" s="1">
        <f>IF(O102=Schraubenlänge!$C$3,1,0)</f>
        <v>0</v>
      </c>
      <c r="Y102" s="1">
        <f>IF(P102=Schraubenlänge!$D$3,1,0)</f>
        <v>0</v>
      </c>
      <c r="Z102" s="1">
        <f t="shared" si="2"/>
        <v>0</v>
      </c>
    </row>
    <row r="103" spans="14:26" x14ac:dyDescent="0.25">
      <c r="N103" s="1" t="s">
        <v>49</v>
      </c>
      <c r="O103" s="11">
        <v>100</v>
      </c>
      <c r="P103" s="11">
        <v>16</v>
      </c>
      <c r="Q103" s="11">
        <v>8</v>
      </c>
      <c r="R103" s="11" t="s">
        <v>10</v>
      </c>
      <c r="S103" s="11">
        <v>20</v>
      </c>
      <c r="T103" s="11">
        <v>3</v>
      </c>
      <c r="U103" s="11">
        <v>0</v>
      </c>
      <c r="W103" s="1">
        <f>IF(N103=Schraubenlänge!$B$3,1,0)</f>
        <v>0</v>
      </c>
      <c r="X103" s="1">
        <f>IF(O103=Schraubenlänge!$C$3,1,0)</f>
        <v>0</v>
      </c>
      <c r="Y103" s="1">
        <f>IF(P103=Schraubenlänge!$D$3,1,0)</f>
        <v>0</v>
      </c>
      <c r="Z103" s="1">
        <f t="shared" si="2"/>
        <v>0</v>
      </c>
    </row>
    <row r="104" spans="14:26" x14ac:dyDescent="0.25">
      <c r="N104" s="1" t="s">
        <v>49</v>
      </c>
      <c r="O104" s="11">
        <v>125</v>
      </c>
      <c r="P104" s="11">
        <v>16</v>
      </c>
      <c r="Q104" s="11">
        <v>8</v>
      </c>
      <c r="R104" s="11" t="s">
        <v>10</v>
      </c>
      <c r="S104" s="11">
        <v>22</v>
      </c>
      <c r="T104" s="11">
        <v>3</v>
      </c>
      <c r="U104" s="11">
        <v>0</v>
      </c>
      <c r="W104" s="1">
        <f>IF(N104=Schraubenlänge!$B$3,1,0)</f>
        <v>0</v>
      </c>
      <c r="X104" s="1">
        <f>IF(O104=Schraubenlänge!$C$3,1,0)</f>
        <v>0</v>
      </c>
      <c r="Y104" s="1">
        <f>IF(P104=Schraubenlänge!$D$3,1,0)</f>
        <v>0</v>
      </c>
      <c r="Z104" s="1">
        <f t="shared" si="2"/>
        <v>0</v>
      </c>
    </row>
    <row r="105" spans="14:26" x14ac:dyDescent="0.25">
      <c r="N105" s="1" t="s">
        <v>49</v>
      </c>
      <c r="O105" s="11">
        <v>150</v>
      </c>
      <c r="P105" s="11">
        <v>16</v>
      </c>
      <c r="Q105" s="11">
        <v>8</v>
      </c>
      <c r="R105" s="11" t="s">
        <v>5</v>
      </c>
      <c r="S105" s="11">
        <v>22</v>
      </c>
      <c r="T105" s="11">
        <v>3</v>
      </c>
      <c r="U105" s="11">
        <v>0</v>
      </c>
      <c r="W105" s="1">
        <f>IF(N105=Schraubenlänge!$B$3,1,0)</f>
        <v>0</v>
      </c>
      <c r="X105" s="1">
        <f>IF(O105=Schraubenlänge!$C$3,1,0)</f>
        <v>1</v>
      </c>
      <c r="Y105" s="1">
        <f>IF(P105=Schraubenlänge!$D$3,1,0)</f>
        <v>0</v>
      </c>
      <c r="Z105" s="1">
        <f t="shared" si="2"/>
        <v>0</v>
      </c>
    </row>
    <row r="106" spans="14:26" x14ac:dyDescent="0.25">
      <c r="N106" s="1" t="s">
        <v>49</v>
      </c>
      <c r="O106" s="11">
        <v>200</v>
      </c>
      <c r="P106" s="11">
        <v>16</v>
      </c>
      <c r="Q106" s="11">
        <v>12</v>
      </c>
      <c r="R106" s="11" t="s">
        <v>5</v>
      </c>
      <c r="S106" s="11">
        <v>24</v>
      </c>
      <c r="T106" s="11">
        <v>3</v>
      </c>
      <c r="U106" s="11">
        <v>0</v>
      </c>
      <c r="W106" s="1">
        <f>IF(N106=Schraubenlänge!$B$3,1,0)</f>
        <v>0</v>
      </c>
      <c r="X106" s="1">
        <f>IF(O106=Schraubenlänge!$C$3,1,0)</f>
        <v>0</v>
      </c>
      <c r="Y106" s="1">
        <f>IF(P106=Schraubenlänge!$D$3,1,0)</f>
        <v>0</v>
      </c>
      <c r="Z106" s="1">
        <f t="shared" si="2"/>
        <v>0</v>
      </c>
    </row>
    <row r="107" spans="14:26" x14ac:dyDescent="0.25">
      <c r="N107" s="1" t="s">
        <v>49</v>
      </c>
      <c r="O107" s="11">
        <v>250</v>
      </c>
      <c r="P107" s="11">
        <v>16</v>
      </c>
      <c r="Q107" s="11">
        <v>12</v>
      </c>
      <c r="R107" s="11" t="s">
        <v>7</v>
      </c>
      <c r="S107" s="11">
        <v>26</v>
      </c>
      <c r="T107" s="11">
        <v>3</v>
      </c>
      <c r="U107" s="11">
        <v>0</v>
      </c>
      <c r="W107" s="1">
        <f>IF(N107=Schraubenlänge!$B$3,1,0)</f>
        <v>0</v>
      </c>
      <c r="X107" s="1">
        <f>IF(O107=Schraubenlänge!$C$3,1,0)</f>
        <v>0</v>
      </c>
      <c r="Y107" s="1">
        <f>IF(P107=Schraubenlänge!$D$3,1,0)</f>
        <v>0</v>
      </c>
      <c r="Z107" s="1">
        <f t="shared" ref="Z107:Z138" si="3">W107*X107*Y107</f>
        <v>0</v>
      </c>
    </row>
    <row r="108" spans="14:26" x14ac:dyDescent="0.25">
      <c r="N108" s="1" t="s">
        <v>49</v>
      </c>
      <c r="O108" s="11">
        <v>300</v>
      </c>
      <c r="P108" s="11">
        <v>16</v>
      </c>
      <c r="Q108" s="11">
        <v>12</v>
      </c>
      <c r="R108" s="11" t="s">
        <v>7</v>
      </c>
      <c r="S108" s="11">
        <v>28</v>
      </c>
      <c r="T108" s="11">
        <v>3</v>
      </c>
      <c r="U108" s="11">
        <v>0</v>
      </c>
      <c r="W108" s="1">
        <f>IF(N108=Schraubenlänge!$B$3,1,0)</f>
        <v>0</v>
      </c>
      <c r="X108" s="1">
        <f>IF(O108=Schraubenlänge!$C$3,1,0)</f>
        <v>0</v>
      </c>
      <c r="Y108" s="1">
        <f>IF(P108=Schraubenlänge!$D$3,1,0)</f>
        <v>0</v>
      </c>
      <c r="Z108" s="1">
        <f t="shared" si="3"/>
        <v>0</v>
      </c>
    </row>
    <row r="109" spans="14:26" x14ac:dyDescent="0.25">
      <c r="N109" s="1" t="s">
        <v>49</v>
      </c>
      <c r="O109" s="11">
        <v>350</v>
      </c>
      <c r="P109" s="11">
        <v>16</v>
      </c>
      <c r="Q109" s="11">
        <v>16</v>
      </c>
      <c r="R109" s="11" t="s">
        <v>7</v>
      </c>
      <c r="S109" s="11">
        <v>30</v>
      </c>
      <c r="T109" s="11">
        <v>3.5</v>
      </c>
      <c r="U109" s="11">
        <v>0</v>
      </c>
      <c r="W109" s="1">
        <f>IF(N109=Schraubenlänge!$B$3,1,0)</f>
        <v>0</v>
      </c>
      <c r="X109" s="1">
        <f>IF(O109=Schraubenlänge!$C$3,1,0)</f>
        <v>0</v>
      </c>
      <c r="Y109" s="1">
        <f>IF(P109=Schraubenlänge!$D$3,1,0)</f>
        <v>0</v>
      </c>
      <c r="Z109" s="1">
        <f t="shared" si="3"/>
        <v>0</v>
      </c>
    </row>
    <row r="110" spans="14:26" x14ac:dyDescent="0.25">
      <c r="N110" s="1" t="s">
        <v>49</v>
      </c>
      <c r="O110" s="11">
        <v>400</v>
      </c>
      <c r="P110" s="11">
        <v>16</v>
      </c>
      <c r="Q110" s="11">
        <v>16</v>
      </c>
      <c r="R110" s="11" t="s">
        <v>8</v>
      </c>
      <c r="S110" s="11">
        <v>32</v>
      </c>
      <c r="T110" s="11">
        <v>3.5</v>
      </c>
      <c r="U110" s="11">
        <v>0</v>
      </c>
      <c r="W110" s="1">
        <f>IF(N110=Schraubenlänge!$B$3,1,0)</f>
        <v>0</v>
      </c>
      <c r="X110" s="1">
        <f>IF(O110=Schraubenlänge!$C$3,1,0)</f>
        <v>0</v>
      </c>
      <c r="Y110" s="1">
        <f>IF(P110=Schraubenlänge!$D$3,1,0)</f>
        <v>0</v>
      </c>
      <c r="Z110" s="1">
        <f t="shared" si="3"/>
        <v>0</v>
      </c>
    </row>
    <row r="111" spans="14:26" x14ac:dyDescent="0.25">
      <c r="N111" s="1" t="s">
        <v>49</v>
      </c>
      <c r="O111" s="11">
        <v>500</v>
      </c>
      <c r="P111" s="11">
        <v>16</v>
      </c>
      <c r="Q111" s="11">
        <v>20</v>
      </c>
      <c r="R111" s="11" t="s">
        <v>6</v>
      </c>
      <c r="S111" s="11">
        <v>34</v>
      </c>
      <c r="T111" s="11">
        <v>3.5</v>
      </c>
      <c r="U111" s="11">
        <v>0</v>
      </c>
      <c r="W111" s="1">
        <f>IF(N111=Schraubenlänge!$B$3,1,0)</f>
        <v>0</v>
      </c>
      <c r="X111" s="1">
        <f>IF(O111=Schraubenlänge!$C$3,1,0)</f>
        <v>0</v>
      </c>
      <c r="Y111" s="1">
        <f>IF(P111=Schraubenlänge!$D$3,1,0)</f>
        <v>0</v>
      </c>
      <c r="Z111" s="1">
        <f t="shared" si="3"/>
        <v>0</v>
      </c>
    </row>
    <row r="112" spans="14:26" x14ac:dyDescent="0.25">
      <c r="N112" s="1" t="s">
        <v>49</v>
      </c>
      <c r="O112" s="11">
        <v>600</v>
      </c>
      <c r="P112" s="11">
        <v>16</v>
      </c>
      <c r="Q112" s="11">
        <v>20</v>
      </c>
      <c r="R112" s="11" t="s">
        <v>11</v>
      </c>
      <c r="S112" s="11">
        <v>36</v>
      </c>
      <c r="T112" s="11">
        <v>3.5</v>
      </c>
      <c r="U112" s="11">
        <v>0</v>
      </c>
      <c r="W112" s="1">
        <f>IF(N112=Schraubenlänge!$B$3,1,0)</f>
        <v>0</v>
      </c>
      <c r="X112" s="1">
        <f>IF(O112=Schraubenlänge!$C$3,1,0)</f>
        <v>0</v>
      </c>
      <c r="Y112" s="1">
        <f>IF(P112=Schraubenlänge!$D$3,1,0)</f>
        <v>0</v>
      </c>
      <c r="Z112" s="1">
        <f t="shared" si="3"/>
        <v>0</v>
      </c>
    </row>
    <row r="113" spans="14:26" x14ac:dyDescent="0.25">
      <c r="N113" s="1" t="s">
        <v>49</v>
      </c>
      <c r="O113" s="11">
        <v>10</v>
      </c>
      <c r="P113" s="11">
        <v>25</v>
      </c>
      <c r="Q113" s="11">
        <v>4</v>
      </c>
      <c r="R113" s="11" t="s">
        <v>9</v>
      </c>
      <c r="S113" s="11">
        <v>16</v>
      </c>
      <c r="T113" s="11">
        <v>2.5</v>
      </c>
      <c r="U113" s="11">
        <v>0</v>
      </c>
      <c r="W113" s="1">
        <f>IF(N113=Schraubenlänge!$B$3,1,0)</f>
        <v>0</v>
      </c>
      <c r="X113" s="1">
        <f>IF(O113=Schraubenlänge!$C$3,1,0)</f>
        <v>0</v>
      </c>
      <c r="Y113" s="1">
        <f>IF(P113=Schraubenlänge!$D$3,1,0)</f>
        <v>0</v>
      </c>
      <c r="Z113" s="1">
        <f t="shared" si="3"/>
        <v>0</v>
      </c>
    </row>
    <row r="114" spans="14:26" x14ac:dyDescent="0.25">
      <c r="N114" s="1" t="s">
        <v>49</v>
      </c>
      <c r="O114" s="11">
        <v>15</v>
      </c>
      <c r="P114" s="11">
        <v>25</v>
      </c>
      <c r="Q114" s="11">
        <v>4</v>
      </c>
      <c r="R114" s="11" t="s">
        <v>9</v>
      </c>
      <c r="S114" s="11">
        <v>16</v>
      </c>
      <c r="T114" s="11">
        <v>2.5</v>
      </c>
      <c r="U114" s="11">
        <v>0</v>
      </c>
      <c r="W114" s="1">
        <f>IF(N114=Schraubenlänge!$B$3,1,0)</f>
        <v>0</v>
      </c>
      <c r="X114" s="1">
        <f>IF(O114=Schraubenlänge!$C$3,1,0)</f>
        <v>0</v>
      </c>
      <c r="Y114" s="1">
        <f>IF(P114=Schraubenlänge!$D$3,1,0)</f>
        <v>0</v>
      </c>
      <c r="Z114" s="1">
        <f t="shared" si="3"/>
        <v>0</v>
      </c>
    </row>
    <row r="115" spans="14:26" x14ac:dyDescent="0.25">
      <c r="N115" s="1" t="s">
        <v>49</v>
      </c>
      <c r="O115" s="11">
        <v>20</v>
      </c>
      <c r="P115" s="11">
        <v>25</v>
      </c>
      <c r="Q115" s="11">
        <v>4</v>
      </c>
      <c r="R115" s="11" t="s">
        <v>9</v>
      </c>
      <c r="S115" s="11">
        <v>18</v>
      </c>
      <c r="T115" s="11">
        <v>2.5</v>
      </c>
      <c r="U115" s="11">
        <v>0</v>
      </c>
      <c r="W115" s="1">
        <f>IF(N115=Schraubenlänge!$B$3,1,0)</f>
        <v>0</v>
      </c>
      <c r="X115" s="1">
        <f>IF(O115=Schraubenlänge!$C$3,1,0)</f>
        <v>0</v>
      </c>
      <c r="Y115" s="1">
        <f>IF(P115=Schraubenlänge!$D$3,1,0)</f>
        <v>0</v>
      </c>
      <c r="Z115" s="1">
        <f t="shared" si="3"/>
        <v>0</v>
      </c>
    </row>
    <row r="116" spans="14:26" x14ac:dyDescent="0.25">
      <c r="N116" s="1" t="s">
        <v>49</v>
      </c>
      <c r="O116" s="11">
        <v>25</v>
      </c>
      <c r="P116" s="11">
        <v>25</v>
      </c>
      <c r="Q116" s="11">
        <v>4</v>
      </c>
      <c r="R116" s="11" t="s">
        <v>9</v>
      </c>
      <c r="S116" s="11">
        <v>18</v>
      </c>
      <c r="T116" s="11">
        <v>2.5</v>
      </c>
      <c r="U116" s="11">
        <v>0</v>
      </c>
      <c r="W116" s="1">
        <f>IF(N116=Schraubenlänge!$B$3,1,0)</f>
        <v>0</v>
      </c>
      <c r="X116" s="1">
        <f>IF(O116=Schraubenlänge!$C$3,1,0)</f>
        <v>0</v>
      </c>
      <c r="Y116" s="1">
        <f>IF(P116=Schraubenlänge!$D$3,1,0)</f>
        <v>0</v>
      </c>
      <c r="Z116" s="1">
        <f t="shared" si="3"/>
        <v>0</v>
      </c>
    </row>
    <row r="117" spans="14:26" x14ac:dyDescent="0.25">
      <c r="N117" s="1" t="s">
        <v>49</v>
      </c>
      <c r="O117" s="11">
        <v>32</v>
      </c>
      <c r="P117" s="11">
        <v>25</v>
      </c>
      <c r="Q117" s="11">
        <v>4</v>
      </c>
      <c r="R117" s="11" t="s">
        <v>10</v>
      </c>
      <c r="S117" s="11">
        <v>18</v>
      </c>
      <c r="T117" s="11">
        <v>2.5</v>
      </c>
      <c r="U117" s="11">
        <v>0</v>
      </c>
      <c r="W117" s="1">
        <f>IF(N117=Schraubenlänge!$B$3,1,0)</f>
        <v>0</v>
      </c>
      <c r="X117" s="1">
        <f>IF(O117=Schraubenlänge!$C$3,1,0)</f>
        <v>0</v>
      </c>
      <c r="Y117" s="1">
        <f>IF(P117=Schraubenlänge!$D$3,1,0)</f>
        <v>0</v>
      </c>
      <c r="Z117" s="1">
        <f t="shared" si="3"/>
        <v>0</v>
      </c>
    </row>
    <row r="118" spans="14:26" x14ac:dyDescent="0.25">
      <c r="N118" s="1" t="s">
        <v>49</v>
      </c>
      <c r="O118" s="11">
        <v>40</v>
      </c>
      <c r="P118" s="11">
        <v>25</v>
      </c>
      <c r="Q118" s="11">
        <v>4</v>
      </c>
      <c r="R118" s="11" t="s">
        <v>10</v>
      </c>
      <c r="S118" s="11">
        <v>18</v>
      </c>
      <c r="T118" s="11">
        <v>2.5</v>
      </c>
      <c r="U118" s="11">
        <v>0</v>
      </c>
      <c r="W118" s="1">
        <f>IF(N118=Schraubenlänge!$B$3,1,0)</f>
        <v>0</v>
      </c>
      <c r="X118" s="1">
        <f>IF(O118=Schraubenlänge!$C$3,1,0)</f>
        <v>0</v>
      </c>
      <c r="Y118" s="1">
        <f>IF(P118=Schraubenlänge!$D$3,1,0)</f>
        <v>0</v>
      </c>
      <c r="Z118" s="1">
        <f t="shared" si="3"/>
        <v>0</v>
      </c>
    </row>
    <row r="119" spans="14:26" x14ac:dyDescent="0.25">
      <c r="N119" s="1" t="s">
        <v>49</v>
      </c>
      <c r="O119" s="11">
        <v>50</v>
      </c>
      <c r="P119" s="11">
        <v>25</v>
      </c>
      <c r="Q119" s="11">
        <v>4</v>
      </c>
      <c r="R119" s="11" t="s">
        <v>10</v>
      </c>
      <c r="S119" s="11">
        <v>20</v>
      </c>
      <c r="T119" s="11">
        <v>2.5</v>
      </c>
      <c r="U119" s="11">
        <v>0</v>
      </c>
      <c r="W119" s="1">
        <f>IF(N119=Schraubenlänge!$B$3,1,0)</f>
        <v>0</v>
      </c>
      <c r="X119" s="1">
        <f>IF(O119=Schraubenlänge!$C$3,1,0)</f>
        <v>0</v>
      </c>
      <c r="Y119" s="1">
        <f>IF(P119=Schraubenlänge!$D$3,1,0)</f>
        <v>0</v>
      </c>
      <c r="Z119" s="1">
        <f t="shared" si="3"/>
        <v>0</v>
      </c>
    </row>
    <row r="120" spans="14:26" x14ac:dyDescent="0.25">
      <c r="N120" s="1" t="s">
        <v>49</v>
      </c>
      <c r="O120" s="11">
        <v>65</v>
      </c>
      <c r="P120" s="11">
        <v>25</v>
      </c>
      <c r="Q120" s="11">
        <v>8</v>
      </c>
      <c r="R120" s="11" t="s">
        <v>10</v>
      </c>
      <c r="S120" s="11">
        <v>22</v>
      </c>
      <c r="T120" s="11">
        <v>2.5</v>
      </c>
      <c r="U120" s="11">
        <v>0</v>
      </c>
      <c r="W120" s="1">
        <f>IF(N120=Schraubenlänge!$B$3,1,0)</f>
        <v>0</v>
      </c>
      <c r="X120" s="1">
        <f>IF(O120=Schraubenlänge!$C$3,1,0)</f>
        <v>0</v>
      </c>
      <c r="Y120" s="1">
        <f>IF(P120=Schraubenlänge!$D$3,1,0)</f>
        <v>0</v>
      </c>
      <c r="Z120" s="1">
        <f t="shared" si="3"/>
        <v>0</v>
      </c>
    </row>
    <row r="121" spans="14:26" x14ac:dyDescent="0.25">
      <c r="N121" s="1" t="s">
        <v>49</v>
      </c>
      <c r="O121" s="11">
        <v>80</v>
      </c>
      <c r="P121" s="11">
        <v>25</v>
      </c>
      <c r="Q121" s="11">
        <v>8</v>
      </c>
      <c r="R121" s="11" t="s">
        <v>10</v>
      </c>
      <c r="S121" s="11">
        <v>24</v>
      </c>
      <c r="T121" s="11">
        <v>2.5</v>
      </c>
      <c r="U121" s="11">
        <v>0</v>
      </c>
      <c r="W121" s="1">
        <f>IF(N121=Schraubenlänge!$B$3,1,0)</f>
        <v>0</v>
      </c>
      <c r="X121" s="1">
        <f>IF(O121=Schraubenlänge!$C$3,1,0)</f>
        <v>0</v>
      </c>
      <c r="Y121" s="1">
        <f>IF(P121=Schraubenlänge!$D$3,1,0)</f>
        <v>0</v>
      </c>
      <c r="Z121" s="1">
        <f t="shared" si="3"/>
        <v>0</v>
      </c>
    </row>
    <row r="122" spans="14:26" x14ac:dyDescent="0.25">
      <c r="N122" s="1" t="s">
        <v>49</v>
      </c>
      <c r="O122" s="11">
        <v>100</v>
      </c>
      <c r="P122" s="11">
        <v>25</v>
      </c>
      <c r="Q122" s="11">
        <v>8</v>
      </c>
      <c r="R122" s="11" t="s">
        <v>5</v>
      </c>
      <c r="S122" s="11">
        <v>24</v>
      </c>
      <c r="T122" s="11">
        <v>3</v>
      </c>
      <c r="U122" s="11">
        <v>0</v>
      </c>
      <c r="W122" s="1">
        <f>IF(N122=Schraubenlänge!$B$3,1,0)</f>
        <v>0</v>
      </c>
      <c r="X122" s="1">
        <f>IF(O122=Schraubenlänge!$C$3,1,0)</f>
        <v>0</v>
      </c>
      <c r="Y122" s="1">
        <f>IF(P122=Schraubenlänge!$D$3,1,0)</f>
        <v>0</v>
      </c>
      <c r="Z122" s="1">
        <f t="shared" si="3"/>
        <v>0</v>
      </c>
    </row>
    <row r="123" spans="14:26" x14ac:dyDescent="0.25">
      <c r="N123" s="1" t="s">
        <v>49</v>
      </c>
      <c r="O123" s="11">
        <v>125</v>
      </c>
      <c r="P123" s="11">
        <v>25</v>
      </c>
      <c r="Q123" s="11">
        <v>8</v>
      </c>
      <c r="R123" s="11" t="s">
        <v>7</v>
      </c>
      <c r="S123" s="11">
        <v>26</v>
      </c>
      <c r="T123" s="11">
        <v>3</v>
      </c>
      <c r="U123" s="11">
        <v>0</v>
      </c>
      <c r="W123" s="1">
        <f>IF(N123=Schraubenlänge!$B$3,1,0)</f>
        <v>0</v>
      </c>
      <c r="X123" s="1">
        <f>IF(O123=Schraubenlänge!$C$3,1,0)</f>
        <v>0</v>
      </c>
      <c r="Y123" s="1">
        <f>IF(P123=Schraubenlänge!$D$3,1,0)</f>
        <v>0</v>
      </c>
      <c r="Z123" s="1">
        <f t="shared" si="3"/>
        <v>0</v>
      </c>
    </row>
    <row r="124" spans="14:26" x14ac:dyDescent="0.25">
      <c r="N124" s="1" t="s">
        <v>49</v>
      </c>
      <c r="O124" s="11">
        <v>150</v>
      </c>
      <c r="P124" s="11">
        <v>25</v>
      </c>
      <c r="Q124" s="11">
        <v>8</v>
      </c>
      <c r="R124" s="11" t="s">
        <v>7</v>
      </c>
      <c r="S124" s="11">
        <v>28</v>
      </c>
      <c r="T124" s="11">
        <v>3</v>
      </c>
      <c r="U124" s="11">
        <v>0</v>
      </c>
      <c r="W124" s="1">
        <f>IF(N124=Schraubenlänge!$B$3,1,0)</f>
        <v>0</v>
      </c>
      <c r="X124" s="1">
        <f>IF(O124=Schraubenlänge!$C$3,1,0)</f>
        <v>1</v>
      </c>
      <c r="Y124" s="1">
        <f>IF(P124=Schraubenlänge!$D$3,1,0)</f>
        <v>0</v>
      </c>
      <c r="Z124" s="1">
        <f t="shared" si="3"/>
        <v>0</v>
      </c>
    </row>
    <row r="125" spans="14:26" x14ac:dyDescent="0.25">
      <c r="N125" s="1" t="s">
        <v>49</v>
      </c>
      <c r="O125" s="11">
        <v>200</v>
      </c>
      <c r="P125" s="11">
        <v>25</v>
      </c>
      <c r="Q125" s="11">
        <v>12</v>
      </c>
      <c r="R125" s="11" t="s">
        <v>7</v>
      </c>
      <c r="S125" s="11">
        <v>30</v>
      </c>
      <c r="T125" s="11">
        <v>3</v>
      </c>
      <c r="U125" s="11">
        <v>0</v>
      </c>
      <c r="W125" s="1">
        <f>IF(N125=Schraubenlänge!$B$3,1,0)</f>
        <v>0</v>
      </c>
      <c r="X125" s="1">
        <f>IF(O125=Schraubenlänge!$C$3,1,0)</f>
        <v>0</v>
      </c>
      <c r="Y125" s="1">
        <f>IF(P125=Schraubenlänge!$D$3,1,0)</f>
        <v>0</v>
      </c>
      <c r="Z125" s="1">
        <f t="shared" si="3"/>
        <v>0</v>
      </c>
    </row>
    <row r="126" spans="14:26" x14ac:dyDescent="0.25">
      <c r="N126" s="1" t="s">
        <v>49</v>
      </c>
      <c r="O126" s="11">
        <v>250</v>
      </c>
      <c r="P126" s="11">
        <v>25</v>
      </c>
      <c r="Q126" s="11">
        <v>12</v>
      </c>
      <c r="R126" s="11" t="s">
        <v>8</v>
      </c>
      <c r="S126" s="11">
        <v>32</v>
      </c>
      <c r="T126" s="11">
        <v>3</v>
      </c>
      <c r="U126" s="11">
        <v>0</v>
      </c>
      <c r="W126" s="1">
        <f>IF(N126=Schraubenlänge!$B$3,1,0)</f>
        <v>0</v>
      </c>
      <c r="X126" s="1">
        <f>IF(O126=Schraubenlänge!$C$3,1,0)</f>
        <v>0</v>
      </c>
      <c r="Y126" s="1">
        <f>IF(P126=Schraubenlänge!$D$3,1,0)</f>
        <v>0</v>
      </c>
      <c r="Z126" s="1">
        <f t="shared" si="3"/>
        <v>0</v>
      </c>
    </row>
    <row r="127" spans="14:26" x14ac:dyDescent="0.25">
      <c r="N127" s="1" t="s">
        <v>49</v>
      </c>
      <c r="O127" s="11">
        <v>300</v>
      </c>
      <c r="P127" s="11">
        <v>25</v>
      </c>
      <c r="Q127" s="11">
        <v>16</v>
      </c>
      <c r="R127" s="11" t="s">
        <v>8</v>
      </c>
      <c r="S127" s="11">
        <v>34</v>
      </c>
      <c r="T127" s="11">
        <v>3</v>
      </c>
      <c r="U127" s="11">
        <v>0</v>
      </c>
      <c r="W127" s="1">
        <f>IF(N127=Schraubenlänge!$B$3,1,0)</f>
        <v>0</v>
      </c>
      <c r="X127" s="1">
        <f>IF(O127=Schraubenlänge!$C$3,1,0)</f>
        <v>0</v>
      </c>
      <c r="Y127" s="1">
        <f>IF(P127=Schraubenlänge!$D$3,1,0)</f>
        <v>0</v>
      </c>
      <c r="Z127" s="1">
        <f t="shared" si="3"/>
        <v>0</v>
      </c>
    </row>
    <row r="128" spans="14:26" x14ac:dyDescent="0.25">
      <c r="N128" s="1" t="s">
        <v>49</v>
      </c>
      <c r="O128" s="11">
        <v>350</v>
      </c>
      <c r="P128" s="11">
        <v>25</v>
      </c>
      <c r="Q128" s="11">
        <v>16</v>
      </c>
      <c r="R128" s="11" t="s">
        <v>6</v>
      </c>
      <c r="S128" s="11">
        <v>38</v>
      </c>
      <c r="T128" s="11">
        <v>3.5</v>
      </c>
      <c r="U128" s="11">
        <v>0</v>
      </c>
      <c r="W128" s="1">
        <f>IF(N128=Schraubenlänge!$B$3,1,0)</f>
        <v>0</v>
      </c>
      <c r="X128" s="1">
        <f>IF(O128=Schraubenlänge!$C$3,1,0)</f>
        <v>0</v>
      </c>
      <c r="Y128" s="1">
        <f>IF(P128=Schraubenlänge!$D$3,1,0)</f>
        <v>0</v>
      </c>
      <c r="Z128" s="1">
        <f t="shared" si="3"/>
        <v>0</v>
      </c>
    </row>
    <row r="129" spans="14:26" x14ac:dyDescent="0.25">
      <c r="N129" s="1" t="s">
        <v>49</v>
      </c>
      <c r="O129" s="11">
        <v>400</v>
      </c>
      <c r="P129" s="11">
        <v>25</v>
      </c>
      <c r="Q129" s="11">
        <v>16</v>
      </c>
      <c r="R129" s="11" t="s">
        <v>11</v>
      </c>
      <c r="S129" s="11">
        <v>40</v>
      </c>
      <c r="T129" s="11">
        <v>3.5</v>
      </c>
      <c r="U129" s="11">
        <v>0</v>
      </c>
      <c r="W129" s="1">
        <f>IF(N129=Schraubenlänge!$B$3,1,0)</f>
        <v>0</v>
      </c>
      <c r="X129" s="1">
        <f>IF(O129=Schraubenlänge!$C$3,1,0)</f>
        <v>0</v>
      </c>
      <c r="Y129" s="1">
        <f>IF(P129=Schraubenlänge!$D$3,1,0)</f>
        <v>0</v>
      </c>
      <c r="Z129" s="1">
        <f t="shared" si="3"/>
        <v>0</v>
      </c>
    </row>
    <row r="130" spans="14:26" x14ac:dyDescent="0.25">
      <c r="N130" s="1" t="s">
        <v>49</v>
      </c>
      <c r="O130" s="11">
        <v>500</v>
      </c>
      <c r="P130" s="11">
        <v>25</v>
      </c>
      <c r="Q130" s="11">
        <v>20</v>
      </c>
      <c r="R130" s="11" t="s">
        <v>11</v>
      </c>
      <c r="S130" s="11">
        <v>44</v>
      </c>
      <c r="T130" s="11">
        <v>3.5</v>
      </c>
      <c r="U130" s="11">
        <v>0</v>
      </c>
      <c r="W130" s="1">
        <f>IF(N130=Schraubenlänge!$B$3,1,0)</f>
        <v>0</v>
      </c>
      <c r="X130" s="1">
        <f>IF(O130=Schraubenlänge!$C$3,1,0)</f>
        <v>0</v>
      </c>
      <c r="Y130" s="1">
        <f>IF(P130=Schraubenlänge!$D$3,1,0)</f>
        <v>0</v>
      </c>
      <c r="Z130" s="1">
        <f t="shared" si="3"/>
        <v>0</v>
      </c>
    </row>
    <row r="131" spans="14:26" x14ac:dyDescent="0.25">
      <c r="N131" s="1" t="s">
        <v>49</v>
      </c>
      <c r="O131" s="11">
        <v>10</v>
      </c>
      <c r="P131" s="11">
        <v>40</v>
      </c>
      <c r="Q131" s="11">
        <v>4</v>
      </c>
      <c r="R131" s="11" t="s">
        <v>9</v>
      </c>
      <c r="S131" s="11">
        <v>16</v>
      </c>
      <c r="T131" s="11">
        <v>2.5</v>
      </c>
      <c r="U131" s="11">
        <v>0</v>
      </c>
      <c r="W131" s="1">
        <f>IF(N131=Schraubenlänge!$B$3,1,0)</f>
        <v>0</v>
      </c>
      <c r="X131" s="1">
        <f>IF(O131=Schraubenlänge!$C$3,1,0)</f>
        <v>0</v>
      </c>
      <c r="Y131" s="1">
        <f>IF(P131=Schraubenlänge!$D$3,1,0)</f>
        <v>1</v>
      </c>
      <c r="Z131" s="1">
        <f t="shared" si="3"/>
        <v>0</v>
      </c>
    </row>
    <row r="132" spans="14:26" x14ac:dyDescent="0.25">
      <c r="N132" s="1" t="s">
        <v>49</v>
      </c>
      <c r="O132" s="11">
        <v>15</v>
      </c>
      <c r="P132" s="11">
        <v>40</v>
      </c>
      <c r="Q132" s="11">
        <v>4</v>
      </c>
      <c r="R132" s="11" t="s">
        <v>9</v>
      </c>
      <c r="S132" s="11">
        <v>16</v>
      </c>
      <c r="T132" s="11">
        <v>2.5</v>
      </c>
      <c r="U132" s="11">
        <v>0</v>
      </c>
      <c r="W132" s="1">
        <f>IF(N132=Schraubenlänge!$B$3,1,0)</f>
        <v>0</v>
      </c>
      <c r="X132" s="1">
        <f>IF(O132=Schraubenlänge!$C$3,1,0)</f>
        <v>0</v>
      </c>
      <c r="Y132" s="1">
        <f>IF(P132=Schraubenlänge!$D$3,1,0)</f>
        <v>1</v>
      </c>
      <c r="Z132" s="1">
        <f t="shared" si="3"/>
        <v>0</v>
      </c>
    </row>
    <row r="133" spans="14:26" x14ac:dyDescent="0.25">
      <c r="N133" s="1" t="s">
        <v>49</v>
      </c>
      <c r="O133" s="11">
        <v>20</v>
      </c>
      <c r="P133" s="11">
        <v>40</v>
      </c>
      <c r="Q133" s="11">
        <v>4</v>
      </c>
      <c r="R133" s="11" t="s">
        <v>9</v>
      </c>
      <c r="S133" s="11">
        <v>18</v>
      </c>
      <c r="T133" s="11">
        <v>2.5</v>
      </c>
      <c r="U133" s="11">
        <v>0</v>
      </c>
      <c r="W133" s="1">
        <f>IF(N133=Schraubenlänge!$B$3,1,0)</f>
        <v>0</v>
      </c>
      <c r="X133" s="1">
        <f>IF(O133=Schraubenlänge!$C$3,1,0)</f>
        <v>0</v>
      </c>
      <c r="Y133" s="1">
        <f>IF(P133=Schraubenlänge!$D$3,1,0)</f>
        <v>1</v>
      </c>
      <c r="Z133" s="1">
        <f t="shared" si="3"/>
        <v>0</v>
      </c>
    </row>
    <row r="134" spans="14:26" x14ac:dyDescent="0.25">
      <c r="N134" s="1" t="s">
        <v>49</v>
      </c>
      <c r="O134" s="11">
        <v>25</v>
      </c>
      <c r="P134" s="11">
        <v>40</v>
      </c>
      <c r="Q134" s="11">
        <v>4</v>
      </c>
      <c r="R134" s="11" t="s">
        <v>9</v>
      </c>
      <c r="S134" s="11">
        <v>18</v>
      </c>
      <c r="T134" s="11">
        <v>2.5</v>
      </c>
      <c r="U134" s="11">
        <v>0</v>
      </c>
      <c r="W134" s="1">
        <f>IF(N134=Schraubenlänge!$B$3,1,0)</f>
        <v>0</v>
      </c>
      <c r="X134" s="1">
        <f>IF(O134=Schraubenlänge!$C$3,1,0)</f>
        <v>0</v>
      </c>
      <c r="Y134" s="1">
        <f>IF(P134=Schraubenlänge!$D$3,1,0)</f>
        <v>1</v>
      </c>
      <c r="Z134" s="1">
        <f t="shared" si="3"/>
        <v>0</v>
      </c>
    </row>
    <row r="135" spans="14:26" x14ac:dyDescent="0.25">
      <c r="N135" s="1" t="s">
        <v>49</v>
      </c>
      <c r="O135" s="11">
        <v>32</v>
      </c>
      <c r="P135" s="11">
        <v>40</v>
      </c>
      <c r="Q135" s="11">
        <v>4</v>
      </c>
      <c r="R135" s="11" t="s">
        <v>10</v>
      </c>
      <c r="S135" s="11">
        <v>18</v>
      </c>
      <c r="T135" s="11">
        <v>2.5</v>
      </c>
      <c r="U135" s="11">
        <v>0</v>
      </c>
      <c r="W135" s="1">
        <f>IF(N135=Schraubenlänge!$B$3,1,0)</f>
        <v>0</v>
      </c>
      <c r="X135" s="1">
        <f>IF(O135=Schraubenlänge!$C$3,1,0)</f>
        <v>0</v>
      </c>
      <c r="Y135" s="1">
        <f>IF(P135=Schraubenlänge!$D$3,1,0)</f>
        <v>1</v>
      </c>
      <c r="Z135" s="1">
        <f t="shared" si="3"/>
        <v>0</v>
      </c>
    </row>
    <row r="136" spans="14:26" x14ac:dyDescent="0.25">
      <c r="N136" s="1" t="s">
        <v>49</v>
      </c>
      <c r="O136" s="11">
        <v>40</v>
      </c>
      <c r="P136" s="11">
        <v>40</v>
      </c>
      <c r="Q136" s="11">
        <v>4</v>
      </c>
      <c r="R136" s="11" t="s">
        <v>10</v>
      </c>
      <c r="S136" s="11">
        <v>18</v>
      </c>
      <c r="T136" s="11">
        <v>2.5</v>
      </c>
      <c r="U136" s="11">
        <v>0</v>
      </c>
      <c r="W136" s="1">
        <f>IF(N136=Schraubenlänge!$B$3,1,0)</f>
        <v>0</v>
      </c>
      <c r="X136" s="1">
        <f>IF(O136=Schraubenlänge!$C$3,1,0)</f>
        <v>0</v>
      </c>
      <c r="Y136" s="1">
        <f>IF(P136=Schraubenlänge!$D$3,1,0)</f>
        <v>1</v>
      </c>
      <c r="Z136" s="1">
        <f t="shared" si="3"/>
        <v>0</v>
      </c>
    </row>
    <row r="137" spans="14:26" x14ac:dyDescent="0.25">
      <c r="N137" s="1" t="s">
        <v>49</v>
      </c>
      <c r="O137" s="11">
        <v>50</v>
      </c>
      <c r="P137" s="11">
        <v>40</v>
      </c>
      <c r="Q137" s="11">
        <v>4</v>
      </c>
      <c r="R137" s="11" t="s">
        <v>10</v>
      </c>
      <c r="S137" s="11">
        <v>20</v>
      </c>
      <c r="T137" s="11">
        <v>2.5</v>
      </c>
      <c r="U137" s="11">
        <v>0</v>
      </c>
      <c r="W137" s="1">
        <f>IF(N137=Schraubenlänge!$B$3,1,0)</f>
        <v>0</v>
      </c>
      <c r="X137" s="1">
        <f>IF(O137=Schraubenlänge!$C$3,1,0)</f>
        <v>0</v>
      </c>
      <c r="Y137" s="1">
        <f>IF(P137=Schraubenlänge!$D$3,1,0)</f>
        <v>1</v>
      </c>
      <c r="Z137" s="1">
        <f t="shared" si="3"/>
        <v>0</v>
      </c>
    </row>
    <row r="138" spans="14:26" x14ac:dyDescent="0.25">
      <c r="N138" s="1" t="s">
        <v>49</v>
      </c>
      <c r="O138" s="11">
        <v>65</v>
      </c>
      <c r="P138" s="11">
        <v>40</v>
      </c>
      <c r="Q138" s="11">
        <v>8</v>
      </c>
      <c r="R138" s="11" t="s">
        <v>10</v>
      </c>
      <c r="S138" s="11">
        <v>22</v>
      </c>
      <c r="T138" s="11">
        <v>2.5</v>
      </c>
      <c r="U138" s="11">
        <v>0</v>
      </c>
      <c r="W138" s="1">
        <f>IF(N138=Schraubenlänge!$B$3,1,0)</f>
        <v>0</v>
      </c>
      <c r="X138" s="1">
        <f>IF(O138=Schraubenlänge!$C$3,1,0)</f>
        <v>0</v>
      </c>
      <c r="Y138" s="1">
        <f>IF(P138=Schraubenlänge!$D$3,1,0)</f>
        <v>1</v>
      </c>
      <c r="Z138" s="1">
        <f t="shared" si="3"/>
        <v>0</v>
      </c>
    </row>
    <row r="139" spans="14:26" x14ac:dyDescent="0.25">
      <c r="N139" s="1" t="s">
        <v>49</v>
      </c>
      <c r="O139" s="11">
        <v>80</v>
      </c>
      <c r="P139" s="11">
        <v>40</v>
      </c>
      <c r="Q139" s="11">
        <v>8</v>
      </c>
      <c r="R139" s="11" t="s">
        <v>10</v>
      </c>
      <c r="S139" s="11">
        <v>24</v>
      </c>
      <c r="T139" s="11">
        <v>2.5</v>
      </c>
      <c r="U139" s="11">
        <v>0</v>
      </c>
      <c r="W139" s="1">
        <f>IF(N139=Schraubenlänge!$B$3,1,0)</f>
        <v>0</v>
      </c>
      <c r="X139" s="1">
        <f>IF(O139=Schraubenlänge!$C$3,1,0)</f>
        <v>0</v>
      </c>
      <c r="Y139" s="1">
        <f>IF(P139=Schraubenlänge!$D$3,1,0)</f>
        <v>1</v>
      </c>
      <c r="Z139" s="1">
        <f t="shared" ref="Z139:Z170" si="4">W139*X139*Y139</f>
        <v>0</v>
      </c>
    </row>
    <row r="140" spans="14:26" x14ac:dyDescent="0.25">
      <c r="N140" s="1" t="s">
        <v>49</v>
      </c>
      <c r="O140" s="11">
        <v>100</v>
      </c>
      <c r="P140" s="11">
        <v>40</v>
      </c>
      <c r="Q140" s="11">
        <v>8</v>
      </c>
      <c r="R140" s="11" t="s">
        <v>5</v>
      </c>
      <c r="S140" s="11">
        <v>24</v>
      </c>
      <c r="T140" s="11">
        <v>3</v>
      </c>
      <c r="U140" s="11">
        <v>0</v>
      </c>
      <c r="W140" s="1">
        <f>IF(N140=Schraubenlänge!$B$3,1,0)</f>
        <v>0</v>
      </c>
      <c r="X140" s="1">
        <f>IF(O140=Schraubenlänge!$C$3,1,0)</f>
        <v>0</v>
      </c>
      <c r="Y140" s="1">
        <f>IF(P140=Schraubenlänge!$D$3,1,0)</f>
        <v>1</v>
      </c>
      <c r="Z140" s="1">
        <f t="shared" si="4"/>
        <v>0</v>
      </c>
    </row>
    <row r="141" spans="14:26" x14ac:dyDescent="0.25">
      <c r="N141" s="1" t="s">
        <v>49</v>
      </c>
      <c r="O141" s="11">
        <v>125</v>
      </c>
      <c r="P141" s="11">
        <v>40</v>
      </c>
      <c r="Q141" s="11">
        <v>8</v>
      </c>
      <c r="R141" s="11" t="s">
        <v>7</v>
      </c>
      <c r="S141" s="11">
        <v>26</v>
      </c>
      <c r="T141" s="11">
        <v>3</v>
      </c>
      <c r="U141" s="11">
        <v>0</v>
      </c>
      <c r="W141" s="1">
        <f>IF(N141=Schraubenlänge!$B$3,1,0)</f>
        <v>0</v>
      </c>
      <c r="X141" s="1">
        <f>IF(O141=Schraubenlänge!$C$3,1,0)</f>
        <v>0</v>
      </c>
      <c r="Y141" s="1">
        <f>IF(P141=Schraubenlänge!$D$3,1,0)</f>
        <v>1</v>
      </c>
      <c r="Z141" s="1">
        <f t="shared" si="4"/>
        <v>0</v>
      </c>
    </row>
    <row r="142" spans="14:26" x14ac:dyDescent="0.25">
      <c r="N142" s="1" t="s">
        <v>49</v>
      </c>
      <c r="O142" s="11">
        <v>150</v>
      </c>
      <c r="P142" s="11">
        <v>40</v>
      </c>
      <c r="Q142" s="11">
        <v>8</v>
      </c>
      <c r="R142" s="11" t="s">
        <v>7</v>
      </c>
      <c r="S142" s="11">
        <v>28</v>
      </c>
      <c r="T142" s="11">
        <v>3</v>
      </c>
      <c r="U142" s="11">
        <v>0</v>
      </c>
      <c r="W142" s="1">
        <f>IF(N142=Schraubenlänge!$B$3,1,0)</f>
        <v>0</v>
      </c>
      <c r="X142" s="1">
        <f>IF(O142=Schraubenlänge!$C$3,1,0)</f>
        <v>1</v>
      </c>
      <c r="Y142" s="1">
        <f>IF(P142=Schraubenlänge!$D$3,1,0)</f>
        <v>1</v>
      </c>
      <c r="Z142" s="1">
        <f t="shared" si="4"/>
        <v>0</v>
      </c>
    </row>
    <row r="143" spans="14:26" x14ac:dyDescent="0.25">
      <c r="N143" s="1" t="s">
        <v>49</v>
      </c>
      <c r="O143" s="11">
        <v>200</v>
      </c>
      <c r="P143" s="11">
        <v>40</v>
      </c>
      <c r="Q143" s="11">
        <v>12</v>
      </c>
      <c r="R143" s="11" t="s">
        <v>8</v>
      </c>
      <c r="S143" s="11">
        <v>34</v>
      </c>
      <c r="T143" s="11">
        <v>3</v>
      </c>
      <c r="U143" s="11">
        <v>0</v>
      </c>
      <c r="W143" s="1">
        <f>IF(N143=Schraubenlänge!$B$3,1,0)</f>
        <v>0</v>
      </c>
      <c r="X143" s="1">
        <f>IF(O143=Schraubenlänge!$C$3,1,0)</f>
        <v>0</v>
      </c>
      <c r="Y143" s="1">
        <f>IF(P143=Schraubenlänge!$D$3,1,0)</f>
        <v>1</v>
      </c>
      <c r="Z143" s="1">
        <f t="shared" si="4"/>
        <v>0</v>
      </c>
    </row>
    <row r="144" spans="14:26" x14ac:dyDescent="0.25">
      <c r="N144" s="1" t="s">
        <v>49</v>
      </c>
      <c r="O144" s="11">
        <v>250</v>
      </c>
      <c r="P144" s="11">
        <v>40</v>
      </c>
      <c r="Q144" s="11">
        <v>12</v>
      </c>
      <c r="R144" s="11" t="s">
        <v>6</v>
      </c>
      <c r="S144" s="11">
        <v>38</v>
      </c>
      <c r="T144" s="11">
        <v>3</v>
      </c>
      <c r="U144" s="11">
        <v>0</v>
      </c>
      <c r="W144" s="1">
        <f>IF(N144=Schraubenlänge!$B$3,1,0)</f>
        <v>0</v>
      </c>
      <c r="X144" s="1">
        <f>IF(O144=Schraubenlänge!$C$3,1,0)</f>
        <v>0</v>
      </c>
      <c r="Y144" s="1">
        <f>IF(P144=Schraubenlänge!$D$3,1,0)</f>
        <v>1</v>
      </c>
      <c r="Z144" s="1">
        <f t="shared" si="4"/>
        <v>0</v>
      </c>
    </row>
    <row r="145" spans="14:26" x14ac:dyDescent="0.25">
      <c r="N145" s="1" t="s">
        <v>49</v>
      </c>
      <c r="O145" s="11">
        <v>300</v>
      </c>
      <c r="P145" s="11">
        <v>40</v>
      </c>
      <c r="Q145" s="11">
        <v>16</v>
      </c>
      <c r="R145" s="11" t="s">
        <v>6</v>
      </c>
      <c r="S145" s="11">
        <v>42</v>
      </c>
      <c r="T145" s="11">
        <v>3</v>
      </c>
      <c r="U145" s="11">
        <v>0</v>
      </c>
      <c r="W145" s="1">
        <f>IF(N145=Schraubenlänge!$B$3,1,0)</f>
        <v>0</v>
      </c>
      <c r="X145" s="1">
        <f>IF(O145=Schraubenlänge!$C$3,1,0)</f>
        <v>0</v>
      </c>
      <c r="Y145" s="1">
        <f>IF(P145=Schraubenlänge!$D$3,1,0)</f>
        <v>1</v>
      </c>
      <c r="Z145" s="1">
        <f t="shared" si="4"/>
        <v>0</v>
      </c>
    </row>
    <row r="146" spans="14:26" x14ac:dyDescent="0.25">
      <c r="N146" s="1" t="s">
        <v>49</v>
      </c>
      <c r="O146" s="11">
        <v>350</v>
      </c>
      <c r="P146" s="11">
        <v>40</v>
      </c>
      <c r="Q146" s="11">
        <v>16</v>
      </c>
      <c r="R146" s="11" t="s">
        <v>11</v>
      </c>
      <c r="S146" s="11">
        <v>46</v>
      </c>
      <c r="T146" s="11">
        <v>3.5</v>
      </c>
      <c r="U146" s="11">
        <v>0</v>
      </c>
      <c r="W146" s="1">
        <f>IF(N146=Schraubenlänge!$B$3,1,0)</f>
        <v>0</v>
      </c>
      <c r="X146" s="1">
        <f>IF(O146=Schraubenlänge!$C$3,1,0)</f>
        <v>0</v>
      </c>
      <c r="Y146" s="1">
        <f>IF(P146=Schraubenlänge!$D$3,1,0)</f>
        <v>1</v>
      </c>
      <c r="Z146" s="1">
        <f t="shared" si="4"/>
        <v>0</v>
      </c>
    </row>
    <row r="147" spans="14:26" x14ac:dyDescent="0.25">
      <c r="N147" s="1" t="s">
        <v>51</v>
      </c>
      <c r="O147" s="11">
        <v>10</v>
      </c>
      <c r="P147" s="11">
        <v>10</v>
      </c>
      <c r="Q147" s="11">
        <v>4</v>
      </c>
      <c r="R147" s="11" t="s">
        <v>9</v>
      </c>
      <c r="S147" s="11">
        <v>14</v>
      </c>
      <c r="T147" s="11">
        <v>3</v>
      </c>
      <c r="U147" s="11">
        <v>0</v>
      </c>
      <c r="W147" s="1">
        <f>IF(N147=Schraubenlänge!$B$3,1,0)</f>
        <v>0</v>
      </c>
      <c r="X147" s="1">
        <f>IF(O147=Schraubenlänge!$C$3,1,0)</f>
        <v>0</v>
      </c>
      <c r="Y147" s="1">
        <f>IF(P147=Schraubenlänge!$D$3,1,0)</f>
        <v>0</v>
      </c>
      <c r="Z147" s="1">
        <f t="shared" si="4"/>
        <v>0</v>
      </c>
    </row>
    <row r="148" spans="14:26" x14ac:dyDescent="0.25">
      <c r="N148" s="1" t="s">
        <v>51</v>
      </c>
      <c r="O148" s="11">
        <v>15</v>
      </c>
      <c r="P148" s="11">
        <v>10</v>
      </c>
      <c r="Q148" s="11">
        <v>4</v>
      </c>
      <c r="R148" s="11" t="s">
        <v>9</v>
      </c>
      <c r="S148" s="11">
        <v>14</v>
      </c>
      <c r="T148" s="11">
        <v>3</v>
      </c>
      <c r="U148" s="11">
        <v>0</v>
      </c>
      <c r="W148" s="1">
        <f>IF(N148=Schraubenlänge!$B$3,1,0)</f>
        <v>0</v>
      </c>
      <c r="X148" s="1">
        <f>IF(O148=Schraubenlänge!$C$3,1,0)</f>
        <v>0</v>
      </c>
      <c r="Y148" s="1">
        <f>IF(P148=Schraubenlänge!$D$3,1,0)</f>
        <v>0</v>
      </c>
      <c r="Z148" s="1">
        <f t="shared" si="4"/>
        <v>0</v>
      </c>
    </row>
    <row r="149" spans="14:26" x14ac:dyDescent="0.25">
      <c r="N149" s="1" t="s">
        <v>51</v>
      </c>
      <c r="O149" s="11">
        <v>20</v>
      </c>
      <c r="P149" s="11">
        <v>10</v>
      </c>
      <c r="Q149" s="11">
        <v>4</v>
      </c>
      <c r="R149" s="11" t="s">
        <v>9</v>
      </c>
      <c r="S149" s="11">
        <v>16</v>
      </c>
      <c r="T149" s="11">
        <v>3</v>
      </c>
      <c r="U149" s="11">
        <v>0</v>
      </c>
      <c r="W149" s="1">
        <f>IF(N149=Schraubenlänge!$B$3,1,0)</f>
        <v>0</v>
      </c>
      <c r="X149" s="1">
        <f>IF(O149=Schraubenlänge!$C$3,1,0)</f>
        <v>0</v>
      </c>
      <c r="Y149" s="1">
        <f>IF(P149=Schraubenlänge!$D$3,1,0)</f>
        <v>0</v>
      </c>
      <c r="Z149" s="1">
        <f t="shared" si="4"/>
        <v>0</v>
      </c>
    </row>
    <row r="150" spans="14:26" x14ac:dyDescent="0.25">
      <c r="N150" s="1" t="s">
        <v>51</v>
      </c>
      <c r="O150" s="11">
        <v>25</v>
      </c>
      <c r="P150" s="11">
        <v>10</v>
      </c>
      <c r="Q150" s="11">
        <v>4</v>
      </c>
      <c r="R150" s="11" t="s">
        <v>9</v>
      </c>
      <c r="S150" s="11">
        <v>16</v>
      </c>
      <c r="T150" s="11">
        <v>3</v>
      </c>
      <c r="U150" s="11">
        <v>0</v>
      </c>
      <c r="W150" s="1">
        <f>IF(N150=Schraubenlänge!$B$3,1,0)</f>
        <v>0</v>
      </c>
      <c r="X150" s="1">
        <f>IF(O150=Schraubenlänge!$C$3,1,0)</f>
        <v>0</v>
      </c>
      <c r="Y150" s="1">
        <f>IF(P150=Schraubenlänge!$D$3,1,0)</f>
        <v>0</v>
      </c>
      <c r="Z150" s="1">
        <f t="shared" si="4"/>
        <v>0</v>
      </c>
    </row>
    <row r="151" spans="14:26" x14ac:dyDescent="0.25">
      <c r="N151" s="1" t="s">
        <v>51</v>
      </c>
      <c r="O151" s="11">
        <v>32</v>
      </c>
      <c r="P151" s="11">
        <v>10</v>
      </c>
      <c r="Q151" s="11">
        <v>4</v>
      </c>
      <c r="R151" s="11" t="s">
        <v>10</v>
      </c>
      <c r="S151" s="11">
        <v>16</v>
      </c>
      <c r="T151" s="11">
        <v>3</v>
      </c>
      <c r="U151" s="11">
        <v>0</v>
      </c>
      <c r="W151" s="1">
        <f>IF(N151=Schraubenlänge!$B$3,1,0)</f>
        <v>0</v>
      </c>
      <c r="X151" s="1">
        <f>IF(O151=Schraubenlänge!$C$3,1,0)</f>
        <v>0</v>
      </c>
      <c r="Y151" s="1">
        <f>IF(P151=Schraubenlänge!$D$3,1,0)</f>
        <v>0</v>
      </c>
      <c r="Z151" s="1">
        <f t="shared" si="4"/>
        <v>0</v>
      </c>
    </row>
    <row r="152" spans="14:26" x14ac:dyDescent="0.25">
      <c r="N152" s="1" t="s">
        <v>51</v>
      </c>
      <c r="O152" s="11">
        <v>40</v>
      </c>
      <c r="P152" s="11">
        <v>10</v>
      </c>
      <c r="Q152" s="11">
        <v>4</v>
      </c>
      <c r="R152" s="11" t="s">
        <v>10</v>
      </c>
      <c r="S152" s="11">
        <v>16</v>
      </c>
      <c r="T152" s="11">
        <v>3</v>
      </c>
      <c r="U152" s="11">
        <v>0</v>
      </c>
      <c r="W152" s="1">
        <f>IF(N152=Schraubenlänge!$B$3,1,0)</f>
        <v>0</v>
      </c>
      <c r="X152" s="1">
        <f>IF(O152=Schraubenlänge!$C$3,1,0)</f>
        <v>0</v>
      </c>
      <c r="Y152" s="1">
        <f>IF(P152=Schraubenlänge!$D$3,1,0)</f>
        <v>0</v>
      </c>
      <c r="Z152" s="1">
        <f t="shared" si="4"/>
        <v>0</v>
      </c>
    </row>
    <row r="153" spans="14:26" x14ac:dyDescent="0.25">
      <c r="N153" s="1" t="s">
        <v>51</v>
      </c>
      <c r="O153" s="11">
        <v>50</v>
      </c>
      <c r="P153" s="11">
        <v>10</v>
      </c>
      <c r="Q153" s="11">
        <v>4</v>
      </c>
      <c r="R153" s="11" t="s">
        <v>10</v>
      </c>
      <c r="S153" s="11">
        <v>18</v>
      </c>
      <c r="T153" s="11">
        <v>3</v>
      </c>
      <c r="U153" s="11">
        <v>0</v>
      </c>
      <c r="W153" s="1">
        <f>IF(N153=Schraubenlänge!$B$3,1,0)</f>
        <v>0</v>
      </c>
      <c r="X153" s="1">
        <f>IF(O153=Schraubenlänge!$C$3,1,0)</f>
        <v>0</v>
      </c>
      <c r="Y153" s="1">
        <f>IF(P153=Schraubenlänge!$D$3,1,0)</f>
        <v>0</v>
      </c>
      <c r="Z153" s="1">
        <f t="shared" si="4"/>
        <v>0</v>
      </c>
    </row>
    <row r="154" spans="14:26" x14ac:dyDescent="0.25">
      <c r="N154" s="1" t="s">
        <v>51</v>
      </c>
      <c r="O154" s="11">
        <v>65</v>
      </c>
      <c r="P154" s="11">
        <v>10</v>
      </c>
      <c r="Q154" s="11">
        <v>4</v>
      </c>
      <c r="R154" s="11" t="s">
        <v>10</v>
      </c>
      <c r="S154" s="11">
        <v>18</v>
      </c>
      <c r="T154" s="11">
        <v>3</v>
      </c>
      <c r="U154" s="11">
        <v>0</v>
      </c>
      <c r="W154" s="1">
        <f>IF(N154=Schraubenlänge!$B$3,1,0)</f>
        <v>0</v>
      </c>
      <c r="X154" s="1">
        <f>IF(O154=Schraubenlänge!$C$3,1,0)</f>
        <v>0</v>
      </c>
      <c r="Y154" s="1">
        <f>IF(P154=Schraubenlänge!$D$3,1,0)</f>
        <v>0</v>
      </c>
      <c r="Z154" s="1">
        <f t="shared" si="4"/>
        <v>0</v>
      </c>
    </row>
    <row r="155" spans="14:26" x14ac:dyDescent="0.25">
      <c r="N155" s="1" t="s">
        <v>51</v>
      </c>
      <c r="O155" s="11">
        <v>80</v>
      </c>
      <c r="P155" s="11">
        <v>10</v>
      </c>
      <c r="Q155" s="11">
        <v>8</v>
      </c>
      <c r="R155" s="11" t="s">
        <v>10</v>
      </c>
      <c r="S155" s="11">
        <v>20</v>
      </c>
      <c r="T155" s="11">
        <v>3</v>
      </c>
      <c r="U155" s="11">
        <v>0</v>
      </c>
      <c r="W155" s="1">
        <f>IF(N155=Schraubenlänge!$B$3,1,0)</f>
        <v>0</v>
      </c>
      <c r="X155" s="1">
        <f>IF(O155=Schraubenlänge!$C$3,1,0)</f>
        <v>0</v>
      </c>
      <c r="Y155" s="1">
        <f>IF(P155=Schraubenlänge!$D$3,1,0)</f>
        <v>0</v>
      </c>
      <c r="Z155" s="1">
        <f t="shared" si="4"/>
        <v>0</v>
      </c>
    </row>
    <row r="156" spans="14:26" x14ac:dyDescent="0.25">
      <c r="N156" s="1" t="s">
        <v>51</v>
      </c>
      <c r="O156" s="11">
        <v>100</v>
      </c>
      <c r="P156" s="11">
        <v>10</v>
      </c>
      <c r="Q156" s="11">
        <v>8</v>
      </c>
      <c r="R156" s="11" t="s">
        <v>10</v>
      </c>
      <c r="S156" s="11">
        <v>20</v>
      </c>
      <c r="T156" s="11">
        <v>3.5</v>
      </c>
      <c r="U156" s="11">
        <v>0</v>
      </c>
      <c r="W156" s="1">
        <f>IF(N156=Schraubenlänge!$B$3,1,0)</f>
        <v>0</v>
      </c>
      <c r="X156" s="1">
        <f>IF(O156=Schraubenlänge!$C$3,1,0)</f>
        <v>0</v>
      </c>
      <c r="Y156" s="1">
        <f>IF(P156=Schraubenlänge!$D$3,1,0)</f>
        <v>0</v>
      </c>
      <c r="Z156" s="1">
        <f t="shared" si="4"/>
        <v>0</v>
      </c>
    </row>
    <row r="157" spans="14:26" x14ac:dyDescent="0.25">
      <c r="N157" s="1" t="s">
        <v>51</v>
      </c>
      <c r="O157" s="11">
        <v>125</v>
      </c>
      <c r="P157" s="11">
        <v>10</v>
      </c>
      <c r="Q157" s="11">
        <v>8</v>
      </c>
      <c r="R157" s="11" t="s">
        <v>10</v>
      </c>
      <c r="S157" s="11">
        <v>22</v>
      </c>
      <c r="T157" s="11">
        <v>3.5</v>
      </c>
      <c r="U157" s="11">
        <v>0</v>
      </c>
      <c r="W157" s="1">
        <f>IF(N157=Schraubenlänge!$B$3,1,0)</f>
        <v>0</v>
      </c>
      <c r="X157" s="1">
        <f>IF(O157=Schraubenlänge!$C$3,1,0)</f>
        <v>0</v>
      </c>
      <c r="Y157" s="1">
        <f>IF(P157=Schraubenlänge!$D$3,1,0)</f>
        <v>0</v>
      </c>
      <c r="Z157" s="1">
        <f t="shared" si="4"/>
        <v>0</v>
      </c>
    </row>
    <row r="158" spans="14:26" x14ac:dyDescent="0.25">
      <c r="N158" s="1" t="s">
        <v>51</v>
      </c>
      <c r="O158" s="11">
        <v>150</v>
      </c>
      <c r="P158" s="11">
        <v>10</v>
      </c>
      <c r="Q158" s="11">
        <v>8</v>
      </c>
      <c r="R158" s="11" t="s">
        <v>5</v>
      </c>
      <c r="S158" s="11">
        <v>22</v>
      </c>
      <c r="T158" s="11">
        <v>3.5</v>
      </c>
      <c r="U158" s="11">
        <v>0</v>
      </c>
      <c r="W158" s="1">
        <f>IF(N158=Schraubenlänge!$B$3,1,0)</f>
        <v>0</v>
      </c>
      <c r="X158" s="1">
        <f>IF(O158=Schraubenlänge!$C$3,1,0)</f>
        <v>1</v>
      </c>
      <c r="Y158" s="1">
        <f>IF(P158=Schraubenlänge!$D$3,1,0)</f>
        <v>0</v>
      </c>
      <c r="Z158" s="1">
        <f t="shared" si="4"/>
        <v>0</v>
      </c>
    </row>
    <row r="159" spans="14:26" x14ac:dyDescent="0.25">
      <c r="N159" s="1" t="s">
        <v>51</v>
      </c>
      <c r="O159" s="11">
        <v>200</v>
      </c>
      <c r="P159" s="11">
        <v>10</v>
      </c>
      <c r="Q159" s="11">
        <v>8</v>
      </c>
      <c r="R159" s="11" t="s">
        <v>5</v>
      </c>
      <c r="S159" s="11">
        <v>24</v>
      </c>
      <c r="T159" s="11">
        <v>3.5</v>
      </c>
      <c r="U159" s="11">
        <v>0</v>
      </c>
      <c r="W159" s="1">
        <f>IF(N159=Schraubenlänge!$B$3,1,0)</f>
        <v>0</v>
      </c>
      <c r="X159" s="1">
        <f>IF(O159=Schraubenlänge!$C$3,1,0)</f>
        <v>0</v>
      </c>
      <c r="Y159" s="1">
        <f>IF(P159=Schraubenlänge!$D$3,1,0)</f>
        <v>0</v>
      </c>
      <c r="Z159" s="1">
        <f t="shared" si="4"/>
        <v>0</v>
      </c>
    </row>
    <row r="160" spans="14:26" x14ac:dyDescent="0.25">
      <c r="N160" s="1" t="s">
        <v>51</v>
      </c>
      <c r="O160" s="11">
        <v>250</v>
      </c>
      <c r="P160" s="11">
        <v>10</v>
      </c>
      <c r="Q160" s="11">
        <v>12</v>
      </c>
      <c r="R160" s="11" t="s">
        <v>5</v>
      </c>
      <c r="S160" s="11">
        <v>26</v>
      </c>
      <c r="T160" s="11">
        <v>3.5</v>
      </c>
      <c r="U160" s="11">
        <v>0</v>
      </c>
      <c r="W160" s="1">
        <f>IF(N160=Schraubenlänge!$B$3,1,0)</f>
        <v>0</v>
      </c>
      <c r="X160" s="1">
        <f>IF(O160=Schraubenlänge!$C$3,1,0)</f>
        <v>0</v>
      </c>
      <c r="Y160" s="1">
        <f>IF(P160=Schraubenlänge!$D$3,1,0)</f>
        <v>0</v>
      </c>
      <c r="Z160" s="1">
        <f t="shared" si="4"/>
        <v>0</v>
      </c>
    </row>
    <row r="161" spans="14:26" x14ac:dyDescent="0.25">
      <c r="N161" s="1" t="s">
        <v>51</v>
      </c>
      <c r="O161" s="11">
        <v>300</v>
      </c>
      <c r="P161" s="11">
        <v>10</v>
      </c>
      <c r="Q161" s="11">
        <v>12</v>
      </c>
      <c r="R161" s="11" t="s">
        <v>5</v>
      </c>
      <c r="S161" s="11">
        <v>26</v>
      </c>
      <c r="T161" s="11">
        <v>3.5</v>
      </c>
      <c r="U161" s="11">
        <v>0</v>
      </c>
      <c r="W161" s="1">
        <f>IF(N161=Schraubenlänge!$B$3,1,0)</f>
        <v>0</v>
      </c>
      <c r="X161" s="1">
        <f>IF(O161=Schraubenlänge!$C$3,1,0)</f>
        <v>0</v>
      </c>
      <c r="Y161" s="1">
        <f>IF(P161=Schraubenlänge!$D$3,1,0)</f>
        <v>0</v>
      </c>
      <c r="Z161" s="1">
        <f t="shared" si="4"/>
        <v>0</v>
      </c>
    </row>
    <row r="162" spans="14:26" x14ac:dyDescent="0.25">
      <c r="N162" s="1" t="s">
        <v>51</v>
      </c>
      <c r="O162" s="11">
        <v>350</v>
      </c>
      <c r="P162" s="11">
        <v>10</v>
      </c>
      <c r="Q162" s="11">
        <v>16</v>
      </c>
      <c r="R162" s="11" t="s">
        <v>5</v>
      </c>
      <c r="S162" s="11">
        <v>26</v>
      </c>
      <c r="T162" s="11">
        <v>4</v>
      </c>
      <c r="U162" s="11">
        <v>0</v>
      </c>
      <c r="W162" s="1">
        <f>IF(N162=Schraubenlänge!$B$3,1,0)</f>
        <v>0</v>
      </c>
      <c r="X162" s="1">
        <f>IF(O162=Schraubenlänge!$C$3,1,0)</f>
        <v>0</v>
      </c>
      <c r="Y162" s="1">
        <f>IF(P162=Schraubenlänge!$D$3,1,0)</f>
        <v>0</v>
      </c>
      <c r="Z162" s="1">
        <f t="shared" si="4"/>
        <v>0</v>
      </c>
    </row>
    <row r="163" spans="14:26" x14ac:dyDescent="0.25">
      <c r="N163" s="1" t="s">
        <v>51</v>
      </c>
      <c r="O163" s="11">
        <v>400</v>
      </c>
      <c r="P163" s="11">
        <v>10</v>
      </c>
      <c r="Q163" s="11">
        <v>16</v>
      </c>
      <c r="R163" s="11" t="s">
        <v>7</v>
      </c>
      <c r="S163" s="11">
        <v>26</v>
      </c>
      <c r="T163" s="11">
        <v>4</v>
      </c>
      <c r="U163" s="11">
        <v>0</v>
      </c>
      <c r="W163" s="1">
        <f>IF(N163=Schraubenlänge!$B$3,1,0)</f>
        <v>0</v>
      </c>
      <c r="X163" s="1">
        <f>IF(O163=Schraubenlänge!$C$3,1,0)</f>
        <v>0</v>
      </c>
      <c r="Y163" s="1">
        <f>IF(P163=Schraubenlänge!$D$3,1,0)</f>
        <v>0</v>
      </c>
      <c r="Z163" s="1">
        <f t="shared" si="4"/>
        <v>0</v>
      </c>
    </row>
    <row r="164" spans="14:26" x14ac:dyDescent="0.25">
      <c r="N164" s="1" t="s">
        <v>51</v>
      </c>
      <c r="O164" s="11">
        <v>500</v>
      </c>
      <c r="P164" s="11">
        <v>10</v>
      </c>
      <c r="Q164" s="11">
        <v>20</v>
      </c>
      <c r="R164" s="11" t="s">
        <v>7</v>
      </c>
      <c r="S164" s="11">
        <v>28</v>
      </c>
      <c r="T164" s="11">
        <v>4</v>
      </c>
      <c r="U164" s="11">
        <v>0</v>
      </c>
      <c r="W164" s="1">
        <f>IF(N164=Schraubenlänge!$B$3,1,0)</f>
        <v>0</v>
      </c>
      <c r="X164" s="1">
        <f>IF(O164=Schraubenlänge!$C$3,1,0)</f>
        <v>0</v>
      </c>
      <c r="Y164" s="1">
        <f>IF(P164=Schraubenlänge!$D$3,1,0)</f>
        <v>0</v>
      </c>
      <c r="Z164" s="1">
        <f t="shared" si="4"/>
        <v>0</v>
      </c>
    </row>
    <row r="165" spans="14:26" x14ac:dyDescent="0.25">
      <c r="N165" s="1" t="s">
        <v>51</v>
      </c>
      <c r="O165" s="11">
        <v>600</v>
      </c>
      <c r="P165" s="11">
        <v>10</v>
      </c>
      <c r="Q165" s="11">
        <v>20</v>
      </c>
      <c r="R165" s="11" t="s">
        <v>8</v>
      </c>
      <c r="S165" s="11">
        <v>28</v>
      </c>
      <c r="T165" s="11">
        <v>4</v>
      </c>
      <c r="U165" s="11">
        <v>0</v>
      </c>
      <c r="W165" s="1">
        <f>IF(N165=Schraubenlänge!$B$3,1,0)</f>
        <v>0</v>
      </c>
      <c r="X165" s="1">
        <f>IF(O165=Schraubenlänge!$C$3,1,0)</f>
        <v>0</v>
      </c>
      <c r="Y165" s="1">
        <f>IF(P165=Schraubenlänge!$D$3,1,0)</f>
        <v>0</v>
      </c>
      <c r="Z165" s="1">
        <f t="shared" si="4"/>
        <v>0</v>
      </c>
    </row>
    <row r="166" spans="14:26" x14ac:dyDescent="0.25">
      <c r="N166" s="1" t="s">
        <v>51</v>
      </c>
      <c r="O166" s="11">
        <v>10</v>
      </c>
      <c r="P166" s="11">
        <v>16</v>
      </c>
      <c r="Q166" s="11">
        <v>4</v>
      </c>
      <c r="R166" s="11" t="s">
        <v>9</v>
      </c>
      <c r="S166" s="11">
        <v>14</v>
      </c>
      <c r="T166" s="11">
        <v>3</v>
      </c>
      <c r="U166" s="11">
        <v>0</v>
      </c>
      <c r="W166" s="1">
        <f>IF(N166=Schraubenlänge!$B$3,1,0)</f>
        <v>0</v>
      </c>
      <c r="X166" s="1">
        <f>IF(O166=Schraubenlänge!$C$3,1,0)</f>
        <v>0</v>
      </c>
      <c r="Y166" s="1">
        <f>IF(P166=Schraubenlänge!$D$3,1,0)</f>
        <v>0</v>
      </c>
      <c r="Z166" s="1">
        <f t="shared" si="4"/>
        <v>0</v>
      </c>
    </row>
    <row r="167" spans="14:26" x14ac:dyDescent="0.25">
      <c r="N167" s="1" t="s">
        <v>51</v>
      </c>
      <c r="O167" s="11">
        <v>15</v>
      </c>
      <c r="P167" s="11">
        <v>16</v>
      </c>
      <c r="Q167" s="11">
        <v>4</v>
      </c>
      <c r="R167" s="11" t="s">
        <v>9</v>
      </c>
      <c r="S167" s="11">
        <v>14</v>
      </c>
      <c r="T167" s="11">
        <v>3</v>
      </c>
      <c r="U167" s="11">
        <v>0</v>
      </c>
      <c r="W167" s="1">
        <f>IF(N167=Schraubenlänge!$B$3,1,0)</f>
        <v>0</v>
      </c>
      <c r="X167" s="1">
        <f>IF(O167=Schraubenlänge!$C$3,1,0)</f>
        <v>0</v>
      </c>
      <c r="Y167" s="1">
        <f>IF(P167=Schraubenlänge!$D$3,1,0)</f>
        <v>0</v>
      </c>
      <c r="Z167" s="1">
        <f t="shared" si="4"/>
        <v>0</v>
      </c>
    </row>
    <row r="168" spans="14:26" x14ac:dyDescent="0.25">
      <c r="N168" s="1" t="s">
        <v>51</v>
      </c>
      <c r="O168" s="11">
        <v>20</v>
      </c>
      <c r="P168" s="11">
        <v>16</v>
      </c>
      <c r="Q168" s="11">
        <v>4</v>
      </c>
      <c r="R168" s="11" t="s">
        <v>9</v>
      </c>
      <c r="S168" s="11">
        <v>16</v>
      </c>
      <c r="T168" s="11">
        <v>3</v>
      </c>
      <c r="U168" s="11">
        <v>0</v>
      </c>
      <c r="W168" s="1">
        <f>IF(N168=Schraubenlänge!$B$3,1,0)</f>
        <v>0</v>
      </c>
      <c r="X168" s="1">
        <f>IF(O168=Schraubenlänge!$C$3,1,0)</f>
        <v>0</v>
      </c>
      <c r="Y168" s="1">
        <f>IF(P168=Schraubenlänge!$D$3,1,0)</f>
        <v>0</v>
      </c>
      <c r="Z168" s="1">
        <f t="shared" si="4"/>
        <v>0</v>
      </c>
    </row>
    <row r="169" spans="14:26" x14ac:dyDescent="0.25">
      <c r="N169" s="1" t="s">
        <v>51</v>
      </c>
      <c r="O169" s="11">
        <v>25</v>
      </c>
      <c r="P169" s="11">
        <v>16</v>
      </c>
      <c r="Q169" s="11">
        <v>4</v>
      </c>
      <c r="R169" s="11" t="s">
        <v>9</v>
      </c>
      <c r="S169" s="11">
        <v>16</v>
      </c>
      <c r="T169" s="11">
        <v>3</v>
      </c>
      <c r="U169" s="11">
        <v>0</v>
      </c>
      <c r="W169" s="1">
        <f>IF(N169=Schraubenlänge!$B$3,1,0)</f>
        <v>0</v>
      </c>
      <c r="X169" s="1">
        <f>IF(O169=Schraubenlänge!$C$3,1,0)</f>
        <v>0</v>
      </c>
      <c r="Y169" s="1">
        <f>IF(P169=Schraubenlänge!$D$3,1,0)</f>
        <v>0</v>
      </c>
      <c r="Z169" s="1">
        <f t="shared" si="4"/>
        <v>0</v>
      </c>
    </row>
    <row r="170" spans="14:26" x14ac:dyDescent="0.25">
      <c r="N170" s="1" t="s">
        <v>51</v>
      </c>
      <c r="O170" s="11">
        <v>32</v>
      </c>
      <c r="P170" s="11">
        <v>16</v>
      </c>
      <c r="Q170" s="11">
        <v>4</v>
      </c>
      <c r="R170" s="11" t="s">
        <v>10</v>
      </c>
      <c r="S170" s="11">
        <v>16</v>
      </c>
      <c r="T170" s="11">
        <v>3</v>
      </c>
      <c r="U170" s="11">
        <v>0</v>
      </c>
      <c r="W170" s="1">
        <f>IF(N170=Schraubenlänge!$B$3,1,0)</f>
        <v>0</v>
      </c>
      <c r="X170" s="1">
        <f>IF(O170=Schraubenlänge!$C$3,1,0)</f>
        <v>0</v>
      </c>
      <c r="Y170" s="1">
        <f>IF(P170=Schraubenlänge!$D$3,1,0)</f>
        <v>0</v>
      </c>
      <c r="Z170" s="1">
        <f t="shared" si="4"/>
        <v>0</v>
      </c>
    </row>
    <row r="171" spans="14:26" x14ac:dyDescent="0.25">
      <c r="N171" s="1" t="s">
        <v>51</v>
      </c>
      <c r="O171" s="11">
        <v>40</v>
      </c>
      <c r="P171" s="11">
        <v>16</v>
      </c>
      <c r="Q171" s="11">
        <v>4</v>
      </c>
      <c r="R171" s="11" t="s">
        <v>10</v>
      </c>
      <c r="S171" s="11">
        <v>16</v>
      </c>
      <c r="T171" s="11">
        <v>3</v>
      </c>
      <c r="U171" s="11">
        <v>0</v>
      </c>
      <c r="W171" s="1">
        <f>IF(N171=Schraubenlänge!$B$3,1,0)</f>
        <v>0</v>
      </c>
      <c r="X171" s="1">
        <f>IF(O171=Schraubenlänge!$C$3,1,0)</f>
        <v>0</v>
      </c>
      <c r="Y171" s="1">
        <f>IF(P171=Schraubenlänge!$D$3,1,0)</f>
        <v>0</v>
      </c>
      <c r="Z171" s="1">
        <f t="shared" ref="Z171:Z202" si="5">W171*X171*Y171</f>
        <v>0</v>
      </c>
    </row>
    <row r="172" spans="14:26" x14ac:dyDescent="0.25">
      <c r="N172" s="1" t="s">
        <v>51</v>
      </c>
      <c r="O172" s="11">
        <v>50</v>
      </c>
      <c r="P172" s="11">
        <v>16</v>
      </c>
      <c r="Q172" s="11">
        <v>4</v>
      </c>
      <c r="R172" s="11" t="s">
        <v>10</v>
      </c>
      <c r="S172" s="11">
        <v>18</v>
      </c>
      <c r="T172" s="11">
        <v>3</v>
      </c>
      <c r="U172" s="11">
        <v>0</v>
      </c>
      <c r="W172" s="1">
        <f>IF(N172=Schraubenlänge!$B$3,1,0)</f>
        <v>0</v>
      </c>
      <c r="X172" s="1">
        <f>IF(O172=Schraubenlänge!$C$3,1,0)</f>
        <v>0</v>
      </c>
      <c r="Y172" s="1">
        <f>IF(P172=Schraubenlänge!$D$3,1,0)</f>
        <v>0</v>
      </c>
      <c r="Z172" s="1">
        <f t="shared" si="5"/>
        <v>0</v>
      </c>
    </row>
    <row r="173" spans="14:26" x14ac:dyDescent="0.25">
      <c r="N173" s="1" t="s">
        <v>51</v>
      </c>
      <c r="O173" s="11">
        <v>65</v>
      </c>
      <c r="P173" s="11">
        <v>16</v>
      </c>
      <c r="Q173" s="11">
        <v>4</v>
      </c>
      <c r="R173" s="11" t="s">
        <v>10</v>
      </c>
      <c r="S173" s="11">
        <v>18</v>
      </c>
      <c r="T173" s="11">
        <v>3</v>
      </c>
      <c r="U173" s="11">
        <v>0</v>
      </c>
      <c r="W173" s="1">
        <f>IF(N173=Schraubenlänge!$B$3,1,0)</f>
        <v>0</v>
      </c>
      <c r="X173" s="1">
        <f>IF(O173=Schraubenlänge!$C$3,1,0)</f>
        <v>0</v>
      </c>
      <c r="Y173" s="1">
        <f>IF(P173=Schraubenlänge!$D$3,1,0)</f>
        <v>0</v>
      </c>
      <c r="Z173" s="1">
        <f t="shared" si="5"/>
        <v>0</v>
      </c>
    </row>
    <row r="174" spans="14:26" x14ac:dyDescent="0.25">
      <c r="N174" s="1" t="s">
        <v>51</v>
      </c>
      <c r="O174" s="11">
        <v>80</v>
      </c>
      <c r="P174" s="11">
        <v>16</v>
      </c>
      <c r="Q174" s="11">
        <v>8</v>
      </c>
      <c r="R174" s="11" t="s">
        <v>10</v>
      </c>
      <c r="S174" s="11">
        <v>20</v>
      </c>
      <c r="T174" s="11">
        <v>3</v>
      </c>
      <c r="U174" s="11">
        <v>0</v>
      </c>
      <c r="W174" s="1">
        <f>IF(N174=Schraubenlänge!$B$3,1,0)</f>
        <v>0</v>
      </c>
      <c r="X174" s="1">
        <f>IF(O174=Schraubenlänge!$C$3,1,0)</f>
        <v>0</v>
      </c>
      <c r="Y174" s="1">
        <f>IF(P174=Schraubenlänge!$D$3,1,0)</f>
        <v>0</v>
      </c>
      <c r="Z174" s="1">
        <f t="shared" si="5"/>
        <v>0</v>
      </c>
    </row>
    <row r="175" spans="14:26" x14ac:dyDescent="0.25">
      <c r="N175" s="1" t="s">
        <v>51</v>
      </c>
      <c r="O175" s="11">
        <v>100</v>
      </c>
      <c r="P175" s="11">
        <v>16</v>
      </c>
      <c r="Q175" s="11">
        <v>8</v>
      </c>
      <c r="R175" s="11" t="s">
        <v>10</v>
      </c>
      <c r="S175" s="11">
        <v>20</v>
      </c>
      <c r="T175" s="11">
        <v>3.5</v>
      </c>
      <c r="U175" s="11">
        <v>0</v>
      </c>
      <c r="W175" s="1">
        <f>IF(N175=Schraubenlänge!$B$3,1,0)</f>
        <v>0</v>
      </c>
      <c r="X175" s="1">
        <f>IF(O175=Schraubenlänge!$C$3,1,0)</f>
        <v>0</v>
      </c>
      <c r="Y175" s="1">
        <f>IF(P175=Schraubenlänge!$D$3,1,0)</f>
        <v>0</v>
      </c>
      <c r="Z175" s="1">
        <f t="shared" si="5"/>
        <v>0</v>
      </c>
    </row>
    <row r="176" spans="14:26" x14ac:dyDescent="0.25">
      <c r="N176" s="1" t="s">
        <v>51</v>
      </c>
      <c r="O176" s="11">
        <v>125</v>
      </c>
      <c r="P176" s="11">
        <v>16</v>
      </c>
      <c r="Q176" s="11">
        <v>8</v>
      </c>
      <c r="R176" s="11" t="s">
        <v>10</v>
      </c>
      <c r="S176" s="11">
        <v>22</v>
      </c>
      <c r="T176" s="11">
        <v>3.5</v>
      </c>
      <c r="U176" s="11">
        <v>0</v>
      </c>
      <c r="W176" s="1">
        <f>IF(N176=Schraubenlänge!$B$3,1,0)</f>
        <v>0</v>
      </c>
      <c r="X176" s="1">
        <f>IF(O176=Schraubenlänge!$C$3,1,0)</f>
        <v>0</v>
      </c>
      <c r="Y176" s="1">
        <f>IF(P176=Schraubenlänge!$D$3,1,0)</f>
        <v>0</v>
      </c>
      <c r="Z176" s="1">
        <f t="shared" si="5"/>
        <v>0</v>
      </c>
    </row>
    <row r="177" spans="14:26" x14ac:dyDescent="0.25">
      <c r="N177" s="1" t="s">
        <v>51</v>
      </c>
      <c r="O177" s="11">
        <v>150</v>
      </c>
      <c r="P177" s="11">
        <v>16</v>
      </c>
      <c r="Q177" s="11">
        <v>8</v>
      </c>
      <c r="R177" s="11" t="s">
        <v>5</v>
      </c>
      <c r="S177" s="11">
        <v>22</v>
      </c>
      <c r="T177" s="11">
        <v>3.5</v>
      </c>
      <c r="U177" s="11">
        <v>0</v>
      </c>
      <c r="W177" s="1">
        <f>IF(N177=Schraubenlänge!$B$3,1,0)</f>
        <v>0</v>
      </c>
      <c r="X177" s="1">
        <f>IF(O177=Schraubenlänge!$C$3,1,0)</f>
        <v>1</v>
      </c>
      <c r="Y177" s="1">
        <f>IF(P177=Schraubenlänge!$D$3,1,0)</f>
        <v>0</v>
      </c>
      <c r="Z177" s="1">
        <f t="shared" si="5"/>
        <v>0</v>
      </c>
    </row>
    <row r="178" spans="14:26" x14ac:dyDescent="0.25">
      <c r="N178" s="1" t="s">
        <v>51</v>
      </c>
      <c r="O178" s="11">
        <v>200</v>
      </c>
      <c r="P178" s="11">
        <v>16</v>
      </c>
      <c r="Q178" s="11">
        <v>12</v>
      </c>
      <c r="R178" s="11" t="s">
        <v>5</v>
      </c>
      <c r="S178" s="11">
        <v>24</v>
      </c>
      <c r="T178" s="11">
        <v>3.5</v>
      </c>
      <c r="U178" s="11">
        <v>0</v>
      </c>
      <c r="W178" s="1">
        <f>IF(N178=Schraubenlänge!$B$3,1,0)</f>
        <v>0</v>
      </c>
      <c r="X178" s="1">
        <f>IF(O178=Schraubenlänge!$C$3,1,0)</f>
        <v>0</v>
      </c>
      <c r="Y178" s="1">
        <f>IF(P178=Schraubenlänge!$D$3,1,0)</f>
        <v>0</v>
      </c>
      <c r="Z178" s="1">
        <f t="shared" si="5"/>
        <v>0</v>
      </c>
    </row>
    <row r="179" spans="14:26" x14ac:dyDescent="0.25">
      <c r="N179" s="1" t="s">
        <v>51</v>
      </c>
      <c r="O179" s="11">
        <v>250</v>
      </c>
      <c r="P179" s="11">
        <v>16</v>
      </c>
      <c r="Q179" s="11">
        <v>12</v>
      </c>
      <c r="R179" s="11" t="s">
        <v>7</v>
      </c>
      <c r="S179" s="11">
        <v>26</v>
      </c>
      <c r="T179" s="11">
        <v>3.5</v>
      </c>
      <c r="U179" s="11">
        <v>0</v>
      </c>
      <c r="W179" s="1">
        <f>IF(N179=Schraubenlänge!$B$3,1,0)</f>
        <v>0</v>
      </c>
      <c r="X179" s="1">
        <f>IF(O179=Schraubenlänge!$C$3,1,0)</f>
        <v>0</v>
      </c>
      <c r="Y179" s="1">
        <f>IF(P179=Schraubenlänge!$D$3,1,0)</f>
        <v>0</v>
      </c>
      <c r="Z179" s="1">
        <f t="shared" si="5"/>
        <v>0</v>
      </c>
    </row>
    <row r="180" spans="14:26" x14ac:dyDescent="0.25">
      <c r="N180" s="1" t="s">
        <v>51</v>
      </c>
      <c r="O180" s="11">
        <v>300</v>
      </c>
      <c r="P180" s="11">
        <v>16</v>
      </c>
      <c r="Q180" s="11">
        <v>12</v>
      </c>
      <c r="R180" s="11" t="s">
        <v>7</v>
      </c>
      <c r="S180" s="11">
        <v>28</v>
      </c>
      <c r="T180" s="11">
        <v>3.5</v>
      </c>
      <c r="U180" s="11">
        <v>0</v>
      </c>
      <c r="W180" s="1">
        <f>IF(N180=Schraubenlänge!$B$3,1,0)</f>
        <v>0</v>
      </c>
      <c r="X180" s="1">
        <f>IF(O180=Schraubenlänge!$C$3,1,0)</f>
        <v>0</v>
      </c>
      <c r="Y180" s="1">
        <f>IF(P180=Schraubenlänge!$D$3,1,0)</f>
        <v>0</v>
      </c>
      <c r="Z180" s="1">
        <f t="shared" si="5"/>
        <v>0</v>
      </c>
    </row>
    <row r="181" spans="14:26" x14ac:dyDescent="0.25">
      <c r="N181" s="1" t="s">
        <v>51</v>
      </c>
      <c r="O181" s="11">
        <v>350</v>
      </c>
      <c r="P181" s="11">
        <v>16</v>
      </c>
      <c r="Q181" s="11">
        <v>16</v>
      </c>
      <c r="R181" s="11" t="s">
        <v>7</v>
      </c>
      <c r="S181" s="11">
        <v>30</v>
      </c>
      <c r="T181" s="11">
        <v>4</v>
      </c>
      <c r="U181" s="11">
        <v>0</v>
      </c>
      <c r="W181" s="1">
        <f>IF(N181=Schraubenlänge!$B$3,1,0)</f>
        <v>0</v>
      </c>
      <c r="X181" s="1">
        <f>IF(O181=Schraubenlänge!$C$3,1,0)</f>
        <v>0</v>
      </c>
      <c r="Y181" s="1">
        <f>IF(P181=Schraubenlänge!$D$3,1,0)</f>
        <v>0</v>
      </c>
      <c r="Z181" s="1">
        <f t="shared" si="5"/>
        <v>0</v>
      </c>
    </row>
    <row r="182" spans="14:26" x14ac:dyDescent="0.25">
      <c r="N182" s="1" t="s">
        <v>51</v>
      </c>
      <c r="O182" s="11">
        <v>400</v>
      </c>
      <c r="P182" s="11">
        <v>16</v>
      </c>
      <c r="Q182" s="11">
        <v>16</v>
      </c>
      <c r="R182" s="11" t="s">
        <v>8</v>
      </c>
      <c r="S182" s="11">
        <v>32</v>
      </c>
      <c r="T182" s="11">
        <v>4</v>
      </c>
      <c r="U182" s="11">
        <v>0</v>
      </c>
      <c r="W182" s="1">
        <f>IF(N182=Schraubenlänge!$B$3,1,0)</f>
        <v>0</v>
      </c>
      <c r="X182" s="1">
        <f>IF(O182=Schraubenlänge!$C$3,1,0)</f>
        <v>0</v>
      </c>
      <c r="Y182" s="1">
        <f>IF(P182=Schraubenlänge!$D$3,1,0)</f>
        <v>0</v>
      </c>
      <c r="Z182" s="1">
        <f t="shared" si="5"/>
        <v>0</v>
      </c>
    </row>
    <row r="183" spans="14:26" x14ac:dyDescent="0.25">
      <c r="N183" s="1" t="s">
        <v>51</v>
      </c>
      <c r="O183" s="11">
        <v>500</v>
      </c>
      <c r="P183" s="11">
        <v>16</v>
      </c>
      <c r="Q183" s="11">
        <v>20</v>
      </c>
      <c r="R183" s="11" t="s">
        <v>6</v>
      </c>
      <c r="S183" s="11">
        <v>34</v>
      </c>
      <c r="T183" s="11">
        <v>4</v>
      </c>
      <c r="U183" s="11">
        <v>0</v>
      </c>
      <c r="W183" s="1">
        <f>IF(N183=Schraubenlänge!$B$3,1,0)</f>
        <v>0</v>
      </c>
      <c r="X183" s="1">
        <f>IF(O183=Schraubenlänge!$C$3,1,0)</f>
        <v>0</v>
      </c>
      <c r="Y183" s="1">
        <f>IF(P183=Schraubenlänge!$D$3,1,0)</f>
        <v>0</v>
      </c>
      <c r="Z183" s="1">
        <f t="shared" si="5"/>
        <v>0</v>
      </c>
    </row>
    <row r="184" spans="14:26" x14ac:dyDescent="0.25">
      <c r="N184" s="1" t="s">
        <v>51</v>
      </c>
      <c r="O184" s="11">
        <v>600</v>
      </c>
      <c r="P184" s="11">
        <v>16</v>
      </c>
      <c r="Q184" s="11">
        <v>20</v>
      </c>
      <c r="R184" s="11" t="s">
        <v>11</v>
      </c>
      <c r="S184" s="11">
        <v>36</v>
      </c>
      <c r="T184" s="11">
        <v>4</v>
      </c>
      <c r="U184" s="11">
        <v>0</v>
      </c>
      <c r="W184" s="1">
        <f>IF(N184=Schraubenlänge!$B$3,1,0)</f>
        <v>0</v>
      </c>
      <c r="X184" s="1">
        <f>IF(O184=Schraubenlänge!$C$3,1,0)</f>
        <v>0</v>
      </c>
      <c r="Y184" s="1">
        <f>IF(P184=Schraubenlänge!$D$3,1,0)</f>
        <v>0</v>
      </c>
      <c r="Z184" s="1">
        <f t="shared" si="5"/>
        <v>0</v>
      </c>
    </row>
    <row r="185" spans="14:26" x14ac:dyDescent="0.25">
      <c r="N185" s="1" t="s">
        <v>51</v>
      </c>
      <c r="O185" s="11">
        <v>10</v>
      </c>
      <c r="P185" s="11">
        <v>25</v>
      </c>
      <c r="Q185" s="11">
        <v>4</v>
      </c>
      <c r="R185" s="11" t="s">
        <v>9</v>
      </c>
      <c r="S185" s="11">
        <v>16</v>
      </c>
      <c r="T185" s="11">
        <v>3</v>
      </c>
      <c r="U185" s="11">
        <v>0</v>
      </c>
      <c r="W185" s="1">
        <f>IF(N185=Schraubenlänge!$B$3,1,0)</f>
        <v>0</v>
      </c>
      <c r="X185" s="1">
        <f>IF(O185=Schraubenlänge!$C$3,1,0)</f>
        <v>0</v>
      </c>
      <c r="Y185" s="1">
        <f>IF(P185=Schraubenlänge!$D$3,1,0)</f>
        <v>0</v>
      </c>
      <c r="Z185" s="1">
        <f t="shared" si="5"/>
        <v>0</v>
      </c>
    </row>
    <row r="186" spans="14:26" x14ac:dyDescent="0.25">
      <c r="N186" s="1" t="s">
        <v>51</v>
      </c>
      <c r="O186" s="11">
        <v>15</v>
      </c>
      <c r="P186" s="11">
        <v>25</v>
      </c>
      <c r="Q186" s="11">
        <v>4</v>
      </c>
      <c r="R186" s="11" t="s">
        <v>9</v>
      </c>
      <c r="S186" s="11">
        <v>16</v>
      </c>
      <c r="T186" s="11">
        <v>3</v>
      </c>
      <c r="U186" s="11">
        <v>0</v>
      </c>
      <c r="W186" s="1">
        <f>IF(N186=Schraubenlänge!$B$3,1,0)</f>
        <v>0</v>
      </c>
      <c r="X186" s="1">
        <f>IF(O186=Schraubenlänge!$C$3,1,0)</f>
        <v>0</v>
      </c>
      <c r="Y186" s="1">
        <f>IF(P186=Schraubenlänge!$D$3,1,0)</f>
        <v>0</v>
      </c>
      <c r="Z186" s="1">
        <f t="shared" si="5"/>
        <v>0</v>
      </c>
    </row>
    <row r="187" spans="14:26" x14ac:dyDescent="0.25">
      <c r="N187" s="1" t="s">
        <v>51</v>
      </c>
      <c r="O187" s="11">
        <v>20</v>
      </c>
      <c r="P187" s="11">
        <v>25</v>
      </c>
      <c r="Q187" s="11">
        <v>4</v>
      </c>
      <c r="R187" s="11" t="s">
        <v>9</v>
      </c>
      <c r="S187" s="11">
        <v>18</v>
      </c>
      <c r="T187" s="11">
        <v>3</v>
      </c>
      <c r="U187" s="11">
        <v>0</v>
      </c>
      <c r="W187" s="1">
        <f>IF(N187=Schraubenlänge!$B$3,1,0)</f>
        <v>0</v>
      </c>
      <c r="X187" s="1">
        <f>IF(O187=Schraubenlänge!$C$3,1,0)</f>
        <v>0</v>
      </c>
      <c r="Y187" s="1">
        <f>IF(P187=Schraubenlänge!$D$3,1,0)</f>
        <v>0</v>
      </c>
      <c r="Z187" s="1">
        <f t="shared" si="5"/>
        <v>0</v>
      </c>
    </row>
    <row r="188" spans="14:26" x14ac:dyDescent="0.25">
      <c r="N188" s="1" t="s">
        <v>51</v>
      </c>
      <c r="O188" s="11">
        <v>25</v>
      </c>
      <c r="P188" s="11">
        <v>25</v>
      </c>
      <c r="Q188" s="11">
        <v>4</v>
      </c>
      <c r="R188" s="11" t="s">
        <v>9</v>
      </c>
      <c r="S188" s="11">
        <v>18</v>
      </c>
      <c r="T188" s="11">
        <v>3</v>
      </c>
      <c r="U188" s="11">
        <v>0</v>
      </c>
      <c r="W188" s="1">
        <f>IF(N188=Schraubenlänge!$B$3,1,0)</f>
        <v>0</v>
      </c>
      <c r="X188" s="1">
        <f>IF(O188=Schraubenlänge!$C$3,1,0)</f>
        <v>0</v>
      </c>
      <c r="Y188" s="1">
        <f>IF(P188=Schraubenlänge!$D$3,1,0)</f>
        <v>0</v>
      </c>
      <c r="Z188" s="1">
        <f t="shared" si="5"/>
        <v>0</v>
      </c>
    </row>
    <row r="189" spans="14:26" x14ac:dyDescent="0.25">
      <c r="N189" s="1" t="s">
        <v>51</v>
      </c>
      <c r="O189" s="11">
        <v>32</v>
      </c>
      <c r="P189" s="11">
        <v>25</v>
      </c>
      <c r="Q189" s="11">
        <v>4</v>
      </c>
      <c r="R189" s="11" t="s">
        <v>10</v>
      </c>
      <c r="S189" s="11">
        <v>18</v>
      </c>
      <c r="T189" s="11">
        <v>3</v>
      </c>
      <c r="U189" s="11">
        <v>0</v>
      </c>
      <c r="W189" s="1">
        <f>IF(N189=Schraubenlänge!$B$3,1,0)</f>
        <v>0</v>
      </c>
      <c r="X189" s="1">
        <f>IF(O189=Schraubenlänge!$C$3,1,0)</f>
        <v>0</v>
      </c>
      <c r="Y189" s="1">
        <f>IF(P189=Schraubenlänge!$D$3,1,0)</f>
        <v>0</v>
      </c>
      <c r="Z189" s="1">
        <f t="shared" si="5"/>
        <v>0</v>
      </c>
    </row>
    <row r="190" spans="14:26" x14ac:dyDescent="0.25">
      <c r="N190" s="1" t="s">
        <v>51</v>
      </c>
      <c r="O190" s="11">
        <v>40</v>
      </c>
      <c r="P190" s="11">
        <v>25</v>
      </c>
      <c r="Q190" s="11">
        <v>4</v>
      </c>
      <c r="R190" s="11" t="s">
        <v>10</v>
      </c>
      <c r="S190" s="11">
        <v>18</v>
      </c>
      <c r="T190" s="11">
        <v>3</v>
      </c>
      <c r="U190" s="11">
        <v>0</v>
      </c>
      <c r="W190" s="1">
        <f>IF(N190=Schraubenlänge!$B$3,1,0)</f>
        <v>0</v>
      </c>
      <c r="X190" s="1">
        <f>IF(O190=Schraubenlänge!$C$3,1,0)</f>
        <v>0</v>
      </c>
      <c r="Y190" s="1">
        <f>IF(P190=Schraubenlänge!$D$3,1,0)</f>
        <v>0</v>
      </c>
      <c r="Z190" s="1">
        <f t="shared" si="5"/>
        <v>0</v>
      </c>
    </row>
    <row r="191" spans="14:26" x14ac:dyDescent="0.25">
      <c r="N191" s="1" t="s">
        <v>51</v>
      </c>
      <c r="O191" s="11">
        <v>50</v>
      </c>
      <c r="P191" s="11">
        <v>25</v>
      </c>
      <c r="Q191" s="11">
        <v>4</v>
      </c>
      <c r="R191" s="11" t="s">
        <v>10</v>
      </c>
      <c r="S191" s="11">
        <v>20</v>
      </c>
      <c r="T191" s="11">
        <v>3</v>
      </c>
      <c r="U191" s="11">
        <v>0</v>
      </c>
      <c r="W191" s="1">
        <f>IF(N191=Schraubenlänge!$B$3,1,0)</f>
        <v>0</v>
      </c>
      <c r="X191" s="1">
        <f>IF(O191=Schraubenlänge!$C$3,1,0)</f>
        <v>0</v>
      </c>
      <c r="Y191" s="1">
        <f>IF(P191=Schraubenlänge!$D$3,1,0)</f>
        <v>0</v>
      </c>
      <c r="Z191" s="1">
        <f t="shared" si="5"/>
        <v>0</v>
      </c>
    </row>
    <row r="192" spans="14:26" x14ac:dyDescent="0.25">
      <c r="N192" s="1" t="s">
        <v>51</v>
      </c>
      <c r="O192" s="11">
        <v>65</v>
      </c>
      <c r="P192" s="11">
        <v>25</v>
      </c>
      <c r="Q192" s="11">
        <v>8</v>
      </c>
      <c r="R192" s="11" t="s">
        <v>10</v>
      </c>
      <c r="S192" s="11">
        <v>22</v>
      </c>
      <c r="T192" s="11">
        <v>3</v>
      </c>
      <c r="U192" s="11">
        <v>0</v>
      </c>
      <c r="W192" s="1">
        <f>IF(N192=Schraubenlänge!$B$3,1,0)</f>
        <v>0</v>
      </c>
      <c r="X192" s="1">
        <f>IF(O192=Schraubenlänge!$C$3,1,0)</f>
        <v>0</v>
      </c>
      <c r="Y192" s="1">
        <f>IF(P192=Schraubenlänge!$D$3,1,0)</f>
        <v>0</v>
      </c>
      <c r="Z192" s="1">
        <f t="shared" si="5"/>
        <v>0</v>
      </c>
    </row>
    <row r="193" spans="14:26" x14ac:dyDescent="0.25">
      <c r="N193" s="1" t="s">
        <v>51</v>
      </c>
      <c r="O193" s="11">
        <v>80</v>
      </c>
      <c r="P193" s="11">
        <v>25</v>
      </c>
      <c r="Q193" s="11">
        <v>8</v>
      </c>
      <c r="R193" s="11" t="s">
        <v>10</v>
      </c>
      <c r="S193" s="11">
        <v>24</v>
      </c>
      <c r="T193" s="11">
        <v>3</v>
      </c>
      <c r="U193" s="11">
        <v>0</v>
      </c>
      <c r="W193" s="1">
        <f>IF(N193=Schraubenlänge!$B$3,1,0)</f>
        <v>0</v>
      </c>
      <c r="X193" s="1">
        <f>IF(O193=Schraubenlänge!$C$3,1,0)</f>
        <v>0</v>
      </c>
      <c r="Y193" s="1">
        <f>IF(P193=Schraubenlänge!$D$3,1,0)</f>
        <v>0</v>
      </c>
      <c r="Z193" s="1">
        <f t="shared" si="5"/>
        <v>0</v>
      </c>
    </row>
    <row r="194" spans="14:26" x14ac:dyDescent="0.25">
      <c r="N194" s="1" t="s">
        <v>51</v>
      </c>
      <c r="O194" s="11">
        <v>100</v>
      </c>
      <c r="P194" s="11">
        <v>25</v>
      </c>
      <c r="Q194" s="11">
        <v>8</v>
      </c>
      <c r="R194" s="11" t="s">
        <v>5</v>
      </c>
      <c r="S194" s="11">
        <v>24</v>
      </c>
      <c r="T194" s="11">
        <v>3.5</v>
      </c>
      <c r="U194" s="11">
        <v>0</v>
      </c>
      <c r="W194" s="1">
        <f>IF(N194=Schraubenlänge!$B$3,1,0)</f>
        <v>0</v>
      </c>
      <c r="X194" s="1">
        <f>IF(O194=Schraubenlänge!$C$3,1,0)</f>
        <v>0</v>
      </c>
      <c r="Y194" s="1">
        <f>IF(P194=Schraubenlänge!$D$3,1,0)</f>
        <v>0</v>
      </c>
      <c r="Z194" s="1">
        <f t="shared" si="5"/>
        <v>0</v>
      </c>
    </row>
    <row r="195" spans="14:26" x14ac:dyDescent="0.25">
      <c r="N195" s="1" t="s">
        <v>51</v>
      </c>
      <c r="O195" s="11">
        <v>125</v>
      </c>
      <c r="P195" s="11">
        <v>25</v>
      </c>
      <c r="Q195" s="11">
        <v>8</v>
      </c>
      <c r="R195" s="11" t="s">
        <v>7</v>
      </c>
      <c r="S195" s="11">
        <v>26</v>
      </c>
      <c r="T195" s="11">
        <v>3.5</v>
      </c>
      <c r="U195" s="11">
        <v>0</v>
      </c>
      <c r="W195" s="1">
        <f>IF(N195=Schraubenlänge!$B$3,1,0)</f>
        <v>0</v>
      </c>
      <c r="X195" s="1">
        <f>IF(O195=Schraubenlänge!$C$3,1,0)</f>
        <v>0</v>
      </c>
      <c r="Y195" s="1">
        <f>IF(P195=Schraubenlänge!$D$3,1,0)</f>
        <v>0</v>
      </c>
      <c r="Z195" s="1">
        <f t="shared" si="5"/>
        <v>0</v>
      </c>
    </row>
    <row r="196" spans="14:26" x14ac:dyDescent="0.25">
      <c r="N196" s="1" t="s">
        <v>51</v>
      </c>
      <c r="O196" s="11">
        <v>150</v>
      </c>
      <c r="P196" s="11">
        <v>25</v>
      </c>
      <c r="Q196" s="11">
        <v>8</v>
      </c>
      <c r="R196" s="11" t="s">
        <v>7</v>
      </c>
      <c r="S196" s="11">
        <v>28</v>
      </c>
      <c r="T196" s="11">
        <v>3.5</v>
      </c>
      <c r="U196" s="11">
        <v>0</v>
      </c>
      <c r="W196" s="1">
        <f>IF(N196=Schraubenlänge!$B$3,1,0)</f>
        <v>0</v>
      </c>
      <c r="X196" s="1">
        <f>IF(O196=Schraubenlänge!$C$3,1,0)</f>
        <v>1</v>
      </c>
      <c r="Y196" s="1">
        <f>IF(P196=Schraubenlänge!$D$3,1,0)</f>
        <v>0</v>
      </c>
      <c r="Z196" s="1">
        <f t="shared" si="5"/>
        <v>0</v>
      </c>
    </row>
    <row r="197" spans="14:26" x14ac:dyDescent="0.25">
      <c r="N197" s="1" t="s">
        <v>51</v>
      </c>
      <c r="O197" s="11">
        <v>200</v>
      </c>
      <c r="P197" s="11">
        <v>25</v>
      </c>
      <c r="Q197" s="11">
        <v>12</v>
      </c>
      <c r="R197" s="11" t="s">
        <v>7</v>
      </c>
      <c r="S197" s="11">
        <v>30</v>
      </c>
      <c r="T197" s="11">
        <v>3.5</v>
      </c>
      <c r="U197" s="11">
        <v>0</v>
      </c>
      <c r="W197" s="1">
        <f>IF(N197=Schraubenlänge!$B$3,1,0)</f>
        <v>0</v>
      </c>
      <c r="X197" s="1">
        <f>IF(O197=Schraubenlänge!$C$3,1,0)</f>
        <v>0</v>
      </c>
      <c r="Y197" s="1">
        <f>IF(P197=Schraubenlänge!$D$3,1,0)</f>
        <v>0</v>
      </c>
      <c r="Z197" s="1">
        <f t="shared" si="5"/>
        <v>0</v>
      </c>
    </row>
    <row r="198" spans="14:26" x14ac:dyDescent="0.25">
      <c r="N198" s="1" t="s">
        <v>51</v>
      </c>
      <c r="O198" s="11">
        <v>250</v>
      </c>
      <c r="P198" s="11">
        <v>25</v>
      </c>
      <c r="Q198" s="11">
        <v>12</v>
      </c>
      <c r="R198" s="11" t="s">
        <v>8</v>
      </c>
      <c r="S198" s="11">
        <v>32</v>
      </c>
      <c r="T198" s="11">
        <v>3.5</v>
      </c>
      <c r="U198" s="11">
        <v>0</v>
      </c>
      <c r="W198" s="1">
        <f>IF(N198=Schraubenlänge!$B$3,1,0)</f>
        <v>0</v>
      </c>
      <c r="X198" s="1">
        <f>IF(O198=Schraubenlänge!$C$3,1,0)</f>
        <v>0</v>
      </c>
      <c r="Y198" s="1">
        <f>IF(P198=Schraubenlänge!$D$3,1,0)</f>
        <v>0</v>
      </c>
      <c r="Z198" s="1">
        <f t="shared" si="5"/>
        <v>0</v>
      </c>
    </row>
    <row r="199" spans="14:26" x14ac:dyDescent="0.25">
      <c r="N199" s="1" t="s">
        <v>51</v>
      </c>
      <c r="O199" s="11">
        <v>300</v>
      </c>
      <c r="P199" s="11">
        <v>25</v>
      </c>
      <c r="Q199" s="11">
        <v>16</v>
      </c>
      <c r="R199" s="11" t="s">
        <v>8</v>
      </c>
      <c r="S199" s="11">
        <v>34</v>
      </c>
      <c r="T199" s="11">
        <v>3.5</v>
      </c>
      <c r="U199" s="11">
        <v>0</v>
      </c>
      <c r="W199" s="1">
        <f>IF(N199=Schraubenlänge!$B$3,1,0)</f>
        <v>0</v>
      </c>
      <c r="X199" s="1">
        <f>IF(O199=Schraubenlänge!$C$3,1,0)</f>
        <v>0</v>
      </c>
      <c r="Y199" s="1">
        <f>IF(P199=Schraubenlänge!$D$3,1,0)</f>
        <v>0</v>
      </c>
      <c r="Z199" s="1">
        <f t="shared" si="5"/>
        <v>0</v>
      </c>
    </row>
    <row r="200" spans="14:26" x14ac:dyDescent="0.25">
      <c r="N200" s="1" t="s">
        <v>51</v>
      </c>
      <c r="O200" s="11">
        <v>350</v>
      </c>
      <c r="P200" s="11">
        <v>25</v>
      </c>
      <c r="Q200" s="11">
        <v>16</v>
      </c>
      <c r="R200" s="11" t="s">
        <v>6</v>
      </c>
      <c r="S200" s="11">
        <v>38</v>
      </c>
      <c r="T200" s="11">
        <v>4</v>
      </c>
      <c r="U200" s="11">
        <v>0</v>
      </c>
      <c r="W200" s="1">
        <f>IF(N200=Schraubenlänge!$B$3,1,0)</f>
        <v>0</v>
      </c>
      <c r="X200" s="1">
        <f>IF(O200=Schraubenlänge!$C$3,1,0)</f>
        <v>0</v>
      </c>
      <c r="Y200" s="1">
        <f>IF(P200=Schraubenlänge!$D$3,1,0)</f>
        <v>0</v>
      </c>
      <c r="Z200" s="1">
        <f t="shared" si="5"/>
        <v>0</v>
      </c>
    </row>
    <row r="201" spans="14:26" x14ac:dyDescent="0.25">
      <c r="N201" s="1" t="s">
        <v>51</v>
      </c>
      <c r="O201" s="11">
        <v>400</v>
      </c>
      <c r="P201" s="11">
        <v>25</v>
      </c>
      <c r="Q201" s="11">
        <v>16</v>
      </c>
      <c r="R201" s="11" t="s">
        <v>11</v>
      </c>
      <c r="S201" s="11">
        <v>40</v>
      </c>
      <c r="T201" s="11">
        <v>4</v>
      </c>
      <c r="U201" s="11">
        <v>0</v>
      </c>
      <c r="W201" s="1">
        <f>IF(N201=Schraubenlänge!$B$3,1,0)</f>
        <v>0</v>
      </c>
      <c r="X201" s="1">
        <f>IF(O201=Schraubenlänge!$C$3,1,0)</f>
        <v>0</v>
      </c>
      <c r="Y201" s="1">
        <f>IF(P201=Schraubenlänge!$D$3,1,0)</f>
        <v>0</v>
      </c>
      <c r="Z201" s="1">
        <f t="shared" si="5"/>
        <v>0</v>
      </c>
    </row>
    <row r="202" spans="14:26" x14ac:dyDescent="0.25">
      <c r="N202" s="1" t="s">
        <v>51</v>
      </c>
      <c r="O202" s="11">
        <v>500</v>
      </c>
      <c r="P202" s="11">
        <v>25</v>
      </c>
      <c r="Q202" s="11">
        <v>20</v>
      </c>
      <c r="R202" s="11" t="s">
        <v>11</v>
      </c>
      <c r="S202" s="11">
        <v>44</v>
      </c>
      <c r="T202" s="11">
        <v>4</v>
      </c>
      <c r="U202" s="11">
        <v>0</v>
      </c>
      <c r="W202" s="1">
        <f>IF(N202=Schraubenlänge!$B$3,1,0)</f>
        <v>0</v>
      </c>
      <c r="X202" s="1">
        <f>IF(O202=Schraubenlänge!$C$3,1,0)</f>
        <v>0</v>
      </c>
      <c r="Y202" s="1">
        <f>IF(P202=Schraubenlänge!$D$3,1,0)</f>
        <v>0</v>
      </c>
      <c r="Z202" s="1">
        <f t="shared" si="5"/>
        <v>0</v>
      </c>
    </row>
    <row r="203" spans="14:26" x14ac:dyDescent="0.25">
      <c r="N203" s="1" t="s">
        <v>51</v>
      </c>
      <c r="O203" s="11">
        <v>10</v>
      </c>
      <c r="P203" s="11">
        <v>40</v>
      </c>
      <c r="Q203" s="11">
        <v>4</v>
      </c>
      <c r="R203" s="11" t="s">
        <v>9</v>
      </c>
      <c r="S203" s="11">
        <v>16</v>
      </c>
      <c r="T203" s="11">
        <v>3</v>
      </c>
      <c r="U203" s="11">
        <v>0</v>
      </c>
      <c r="W203" s="1">
        <f>IF(N203=Schraubenlänge!$B$3,1,0)</f>
        <v>0</v>
      </c>
      <c r="X203" s="1">
        <f>IF(O203=Schraubenlänge!$C$3,1,0)</f>
        <v>0</v>
      </c>
      <c r="Y203" s="1">
        <f>IF(P203=Schraubenlänge!$D$3,1,0)</f>
        <v>1</v>
      </c>
      <c r="Z203" s="1">
        <f t="shared" ref="Z203:Z218" si="6">W203*X203*Y203</f>
        <v>0</v>
      </c>
    </row>
    <row r="204" spans="14:26" x14ac:dyDescent="0.25">
      <c r="N204" s="1" t="s">
        <v>51</v>
      </c>
      <c r="O204" s="11">
        <v>15</v>
      </c>
      <c r="P204" s="11">
        <v>40</v>
      </c>
      <c r="Q204" s="11">
        <v>4</v>
      </c>
      <c r="R204" s="11" t="s">
        <v>9</v>
      </c>
      <c r="S204" s="11">
        <v>16</v>
      </c>
      <c r="T204" s="11">
        <v>3</v>
      </c>
      <c r="U204" s="11">
        <v>0</v>
      </c>
      <c r="W204" s="1">
        <f>IF(N204=Schraubenlänge!$B$3,1,0)</f>
        <v>0</v>
      </c>
      <c r="X204" s="1">
        <f>IF(O204=Schraubenlänge!$C$3,1,0)</f>
        <v>0</v>
      </c>
      <c r="Y204" s="1">
        <f>IF(P204=Schraubenlänge!$D$3,1,0)</f>
        <v>1</v>
      </c>
      <c r="Z204" s="1">
        <f t="shared" si="6"/>
        <v>0</v>
      </c>
    </row>
    <row r="205" spans="14:26" x14ac:dyDescent="0.25">
      <c r="N205" s="1" t="s">
        <v>51</v>
      </c>
      <c r="O205" s="11">
        <v>20</v>
      </c>
      <c r="P205" s="11">
        <v>40</v>
      </c>
      <c r="Q205" s="11">
        <v>4</v>
      </c>
      <c r="R205" s="11" t="s">
        <v>9</v>
      </c>
      <c r="S205" s="11">
        <v>18</v>
      </c>
      <c r="T205" s="11">
        <v>3</v>
      </c>
      <c r="U205" s="11">
        <v>0</v>
      </c>
      <c r="W205" s="1">
        <f>IF(N205=Schraubenlänge!$B$3,1,0)</f>
        <v>0</v>
      </c>
      <c r="X205" s="1">
        <f>IF(O205=Schraubenlänge!$C$3,1,0)</f>
        <v>0</v>
      </c>
      <c r="Y205" s="1">
        <f>IF(P205=Schraubenlänge!$D$3,1,0)</f>
        <v>1</v>
      </c>
      <c r="Z205" s="1">
        <f t="shared" si="6"/>
        <v>0</v>
      </c>
    </row>
    <row r="206" spans="14:26" x14ac:dyDescent="0.25">
      <c r="N206" s="1" t="s">
        <v>51</v>
      </c>
      <c r="O206" s="11">
        <v>25</v>
      </c>
      <c r="P206" s="11">
        <v>40</v>
      </c>
      <c r="Q206" s="11">
        <v>4</v>
      </c>
      <c r="R206" s="11" t="s">
        <v>9</v>
      </c>
      <c r="S206" s="11">
        <v>18</v>
      </c>
      <c r="T206" s="11">
        <v>3</v>
      </c>
      <c r="U206" s="11">
        <v>0</v>
      </c>
      <c r="W206" s="1">
        <f>IF(N206=Schraubenlänge!$B$3,1,0)</f>
        <v>0</v>
      </c>
      <c r="X206" s="1">
        <f>IF(O206=Schraubenlänge!$C$3,1,0)</f>
        <v>0</v>
      </c>
      <c r="Y206" s="1">
        <f>IF(P206=Schraubenlänge!$D$3,1,0)</f>
        <v>1</v>
      </c>
      <c r="Z206" s="1">
        <f t="shared" si="6"/>
        <v>0</v>
      </c>
    </row>
    <row r="207" spans="14:26" x14ac:dyDescent="0.25">
      <c r="N207" s="1" t="s">
        <v>51</v>
      </c>
      <c r="O207" s="11">
        <v>32</v>
      </c>
      <c r="P207" s="11">
        <v>40</v>
      </c>
      <c r="Q207" s="11">
        <v>4</v>
      </c>
      <c r="R207" s="11" t="s">
        <v>10</v>
      </c>
      <c r="S207" s="11">
        <v>18</v>
      </c>
      <c r="T207" s="11">
        <v>3</v>
      </c>
      <c r="U207" s="11">
        <v>0</v>
      </c>
      <c r="W207" s="1">
        <f>IF(N207=Schraubenlänge!$B$3,1,0)</f>
        <v>0</v>
      </c>
      <c r="X207" s="1">
        <f>IF(O207=Schraubenlänge!$C$3,1,0)</f>
        <v>0</v>
      </c>
      <c r="Y207" s="1">
        <f>IF(P207=Schraubenlänge!$D$3,1,0)</f>
        <v>1</v>
      </c>
      <c r="Z207" s="1">
        <f t="shared" si="6"/>
        <v>0</v>
      </c>
    </row>
    <row r="208" spans="14:26" x14ac:dyDescent="0.25">
      <c r="N208" s="1" t="s">
        <v>51</v>
      </c>
      <c r="O208" s="11">
        <v>40</v>
      </c>
      <c r="P208" s="11">
        <v>40</v>
      </c>
      <c r="Q208" s="11">
        <v>4</v>
      </c>
      <c r="R208" s="11" t="s">
        <v>10</v>
      </c>
      <c r="S208" s="11">
        <v>18</v>
      </c>
      <c r="T208" s="11">
        <v>3</v>
      </c>
      <c r="U208" s="11">
        <v>0</v>
      </c>
      <c r="W208" s="1">
        <f>IF(N208=Schraubenlänge!$B$3,1,0)</f>
        <v>0</v>
      </c>
      <c r="X208" s="1">
        <f>IF(O208=Schraubenlänge!$C$3,1,0)</f>
        <v>0</v>
      </c>
      <c r="Y208" s="1">
        <f>IF(P208=Schraubenlänge!$D$3,1,0)</f>
        <v>1</v>
      </c>
      <c r="Z208" s="1">
        <f t="shared" si="6"/>
        <v>0</v>
      </c>
    </row>
    <row r="209" spans="14:26" x14ac:dyDescent="0.25">
      <c r="N209" s="1" t="s">
        <v>51</v>
      </c>
      <c r="O209" s="11">
        <v>50</v>
      </c>
      <c r="P209" s="11">
        <v>40</v>
      </c>
      <c r="Q209" s="11">
        <v>4</v>
      </c>
      <c r="R209" s="11" t="s">
        <v>10</v>
      </c>
      <c r="S209" s="11">
        <v>20</v>
      </c>
      <c r="T209" s="11">
        <v>3</v>
      </c>
      <c r="U209" s="11">
        <v>0</v>
      </c>
      <c r="W209" s="1">
        <f>IF(N209=Schraubenlänge!$B$3,1,0)</f>
        <v>0</v>
      </c>
      <c r="X209" s="1">
        <f>IF(O209=Schraubenlänge!$C$3,1,0)</f>
        <v>0</v>
      </c>
      <c r="Y209" s="1">
        <f>IF(P209=Schraubenlänge!$D$3,1,0)</f>
        <v>1</v>
      </c>
      <c r="Z209" s="1">
        <f t="shared" si="6"/>
        <v>0</v>
      </c>
    </row>
    <row r="210" spans="14:26" x14ac:dyDescent="0.25">
      <c r="N210" s="1" t="s">
        <v>51</v>
      </c>
      <c r="O210" s="11">
        <v>65</v>
      </c>
      <c r="P210" s="11">
        <v>40</v>
      </c>
      <c r="Q210" s="11">
        <v>8</v>
      </c>
      <c r="R210" s="11" t="s">
        <v>10</v>
      </c>
      <c r="S210" s="11">
        <v>22</v>
      </c>
      <c r="T210" s="11">
        <v>3</v>
      </c>
      <c r="U210" s="11">
        <v>0</v>
      </c>
      <c r="W210" s="1">
        <f>IF(N210=Schraubenlänge!$B$3,1,0)</f>
        <v>0</v>
      </c>
      <c r="X210" s="1">
        <f>IF(O210=Schraubenlänge!$C$3,1,0)</f>
        <v>0</v>
      </c>
      <c r="Y210" s="1">
        <f>IF(P210=Schraubenlänge!$D$3,1,0)</f>
        <v>1</v>
      </c>
      <c r="Z210" s="1">
        <f t="shared" si="6"/>
        <v>0</v>
      </c>
    </row>
    <row r="211" spans="14:26" x14ac:dyDescent="0.25">
      <c r="N211" s="1" t="s">
        <v>51</v>
      </c>
      <c r="O211" s="11">
        <v>80</v>
      </c>
      <c r="P211" s="11">
        <v>40</v>
      </c>
      <c r="Q211" s="11">
        <v>8</v>
      </c>
      <c r="R211" s="11" t="s">
        <v>10</v>
      </c>
      <c r="S211" s="11">
        <v>24</v>
      </c>
      <c r="T211" s="11">
        <v>3</v>
      </c>
      <c r="U211" s="11">
        <v>0</v>
      </c>
      <c r="W211" s="1">
        <f>IF(N211=Schraubenlänge!$B$3,1,0)</f>
        <v>0</v>
      </c>
      <c r="X211" s="1">
        <f>IF(O211=Schraubenlänge!$C$3,1,0)</f>
        <v>0</v>
      </c>
      <c r="Y211" s="1">
        <f>IF(P211=Schraubenlänge!$D$3,1,0)</f>
        <v>1</v>
      </c>
      <c r="Z211" s="1">
        <f t="shared" si="6"/>
        <v>0</v>
      </c>
    </row>
    <row r="212" spans="14:26" x14ac:dyDescent="0.25">
      <c r="N212" s="1" t="s">
        <v>51</v>
      </c>
      <c r="O212" s="11">
        <v>100</v>
      </c>
      <c r="P212" s="11">
        <v>40</v>
      </c>
      <c r="Q212" s="11">
        <v>8</v>
      </c>
      <c r="R212" s="11" t="s">
        <v>5</v>
      </c>
      <c r="S212" s="11">
        <v>24</v>
      </c>
      <c r="T212" s="11">
        <v>3.5</v>
      </c>
      <c r="U212" s="11">
        <v>0</v>
      </c>
      <c r="W212" s="1">
        <f>IF(N212=Schraubenlänge!$B$3,1,0)</f>
        <v>0</v>
      </c>
      <c r="X212" s="1">
        <f>IF(O212=Schraubenlänge!$C$3,1,0)</f>
        <v>0</v>
      </c>
      <c r="Y212" s="1">
        <f>IF(P212=Schraubenlänge!$D$3,1,0)</f>
        <v>1</v>
      </c>
      <c r="Z212" s="1">
        <f t="shared" si="6"/>
        <v>0</v>
      </c>
    </row>
    <row r="213" spans="14:26" x14ac:dyDescent="0.25">
      <c r="N213" s="1" t="s">
        <v>51</v>
      </c>
      <c r="O213" s="11">
        <v>125</v>
      </c>
      <c r="P213" s="11">
        <v>40</v>
      </c>
      <c r="Q213" s="11">
        <v>8</v>
      </c>
      <c r="R213" s="11" t="s">
        <v>7</v>
      </c>
      <c r="S213" s="11">
        <v>26</v>
      </c>
      <c r="T213" s="11">
        <v>3.5</v>
      </c>
      <c r="U213" s="11">
        <v>0</v>
      </c>
      <c r="W213" s="1">
        <f>IF(N213=Schraubenlänge!$B$3,1,0)</f>
        <v>0</v>
      </c>
      <c r="X213" s="1">
        <f>IF(O213=Schraubenlänge!$C$3,1,0)</f>
        <v>0</v>
      </c>
      <c r="Y213" s="1">
        <f>IF(P213=Schraubenlänge!$D$3,1,0)</f>
        <v>1</v>
      </c>
      <c r="Z213" s="1">
        <f t="shared" si="6"/>
        <v>0</v>
      </c>
    </row>
    <row r="214" spans="14:26" x14ac:dyDescent="0.25">
      <c r="N214" s="1" t="s">
        <v>51</v>
      </c>
      <c r="O214" s="11">
        <v>150</v>
      </c>
      <c r="P214" s="11">
        <v>40</v>
      </c>
      <c r="Q214" s="11">
        <v>8</v>
      </c>
      <c r="R214" s="11" t="s">
        <v>7</v>
      </c>
      <c r="S214" s="11">
        <v>28</v>
      </c>
      <c r="T214" s="11">
        <v>3.5</v>
      </c>
      <c r="U214" s="11">
        <v>0</v>
      </c>
      <c r="W214" s="1">
        <f>IF(N214=Schraubenlänge!$B$3,1,0)</f>
        <v>0</v>
      </c>
      <c r="X214" s="1">
        <f>IF(O214=Schraubenlänge!$C$3,1,0)</f>
        <v>1</v>
      </c>
      <c r="Y214" s="1">
        <f>IF(P214=Schraubenlänge!$D$3,1,0)</f>
        <v>1</v>
      </c>
      <c r="Z214" s="1">
        <f t="shared" si="6"/>
        <v>0</v>
      </c>
    </row>
    <row r="215" spans="14:26" x14ac:dyDescent="0.25">
      <c r="N215" s="1" t="s">
        <v>51</v>
      </c>
      <c r="O215" s="11">
        <v>200</v>
      </c>
      <c r="P215" s="11">
        <v>40</v>
      </c>
      <c r="Q215" s="11">
        <v>12</v>
      </c>
      <c r="R215" s="11" t="s">
        <v>8</v>
      </c>
      <c r="S215" s="11">
        <v>34</v>
      </c>
      <c r="T215" s="11">
        <v>3.5</v>
      </c>
      <c r="U215" s="11">
        <v>0</v>
      </c>
      <c r="W215" s="1">
        <f>IF(N215=Schraubenlänge!$B$3,1,0)</f>
        <v>0</v>
      </c>
      <c r="X215" s="1">
        <f>IF(O215=Schraubenlänge!$C$3,1,0)</f>
        <v>0</v>
      </c>
      <c r="Y215" s="1">
        <f>IF(P215=Schraubenlänge!$D$3,1,0)</f>
        <v>1</v>
      </c>
      <c r="Z215" s="1">
        <f t="shared" si="6"/>
        <v>0</v>
      </c>
    </row>
    <row r="216" spans="14:26" x14ac:dyDescent="0.25">
      <c r="N216" s="1" t="s">
        <v>51</v>
      </c>
      <c r="O216" s="11">
        <v>250</v>
      </c>
      <c r="P216" s="11">
        <v>40</v>
      </c>
      <c r="Q216" s="11">
        <v>12</v>
      </c>
      <c r="R216" s="11" t="s">
        <v>6</v>
      </c>
      <c r="S216" s="11">
        <v>38</v>
      </c>
      <c r="T216" s="11">
        <v>3.5</v>
      </c>
      <c r="U216" s="11">
        <v>0</v>
      </c>
      <c r="W216" s="1">
        <f>IF(N216=Schraubenlänge!$B$3,1,0)</f>
        <v>0</v>
      </c>
      <c r="X216" s="1">
        <f>IF(O216=Schraubenlänge!$C$3,1,0)</f>
        <v>0</v>
      </c>
      <c r="Y216" s="1">
        <f>IF(P216=Schraubenlänge!$D$3,1,0)</f>
        <v>1</v>
      </c>
      <c r="Z216" s="1">
        <f t="shared" si="6"/>
        <v>0</v>
      </c>
    </row>
    <row r="217" spans="14:26" x14ac:dyDescent="0.25">
      <c r="N217" s="1" t="s">
        <v>51</v>
      </c>
      <c r="O217" s="11">
        <v>300</v>
      </c>
      <c r="P217" s="11">
        <v>40</v>
      </c>
      <c r="Q217" s="11">
        <v>16</v>
      </c>
      <c r="R217" s="11" t="s">
        <v>6</v>
      </c>
      <c r="S217" s="11">
        <v>42</v>
      </c>
      <c r="T217" s="11">
        <v>3.5</v>
      </c>
      <c r="U217" s="11">
        <v>0</v>
      </c>
      <c r="W217" s="1">
        <f>IF(N217=Schraubenlänge!$B$3,1,0)</f>
        <v>0</v>
      </c>
      <c r="X217" s="1">
        <f>IF(O217=Schraubenlänge!$C$3,1,0)</f>
        <v>0</v>
      </c>
      <c r="Y217" s="1">
        <f>IF(P217=Schraubenlänge!$D$3,1,0)</f>
        <v>1</v>
      </c>
      <c r="Z217" s="1">
        <f t="shared" si="6"/>
        <v>0</v>
      </c>
    </row>
    <row r="218" spans="14:26" x14ac:dyDescent="0.25">
      <c r="N218" s="1" t="s">
        <v>51</v>
      </c>
      <c r="O218" s="11">
        <v>350</v>
      </c>
      <c r="P218" s="11">
        <v>40</v>
      </c>
      <c r="Q218" s="11">
        <v>16</v>
      </c>
      <c r="R218" s="11" t="s">
        <v>11</v>
      </c>
      <c r="S218" s="11">
        <v>46</v>
      </c>
      <c r="T218" s="11">
        <v>4</v>
      </c>
      <c r="U218" s="11">
        <v>0</v>
      </c>
      <c r="W218" s="1">
        <f>IF(N218=Schraubenlänge!$B$3,1,0)</f>
        <v>0</v>
      </c>
      <c r="X218" s="1">
        <f>IF(O218=Schraubenlänge!$C$3,1,0)</f>
        <v>0</v>
      </c>
      <c r="Y218" s="1">
        <f>IF(P218=Schraubenlänge!$D$3,1,0)</f>
        <v>1</v>
      </c>
      <c r="Z218" s="1">
        <f t="shared" si="6"/>
        <v>0</v>
      </c>
    </row>
    <row r="219" spans="14:26" x14ac:dyDescent="0.25">
      <c r="N219" s="1" t="s">
        <v>52</v>
      </c>
      <c r="O219" s="11">
        <v>10</v>
      </c>
      <c r="P219" s="11">
        <v>6</v>
      </c>
      <c r="Q219" s="11">
        <v>4</v>
      </c>
      <c r="R219" s="11" t="s">
        <v>32</v>
      </c>
      <c r="S219" s="11">
        <v>12</v>
      </c>
      <c r="T219" s="11">
        <v>0</v>
      </c>
      <c r="U219" s="11">
        <v>10</v>
      </c>
      <c r="W219" s="1">
        <f>IF(N219=Schraubenlänge!$B$3,1,0)</f>
        <v>0</v>
      </c>
      <c r="X219" s="1">
        <f>IF(O219=Schraubenlänge!$C$3,1,0)</f>
        <v>0</v>
      </c>
      <c r="Y219" s="1">
        <f>IF(P219=Schraubenlänge!$D$3,1,0)</f>
        <v>0</v>
      </c>
      <c r="Z219" s="1">
        <f t="shared" ref="Z219:Z246" si="7">W219*X219*Y219</f>
        <v>0</v>
      </c>
    </row>
    <row r="220" spans="14:26" x14ac:dyDescent="0.25">
      <c r="N220" s="1" t="s">
        <v>52</v>
      </c>
      <c r="O220" s="11">
        <v>15</v>
      </c>
      <c r="P220" s="11">
        <v>6</v>
      </c>
      <c r="Q220" s="11">
        <v>4</v>
      </c>
      <c r="R220" s="11" t="s">
        <v>32</v>
      </c>
      <c r="S220" s="11">
        <v>12</v>
      </c>
      <c r="T220" s="11">
        <v>0</v>
      </c>
      <c r="U220" s="11">
        <v>10</v>
      </c>
      <c r="W220" s="1">
        <f>IF(N220=Schraubenlänge!$B$3,1,0)</f>
        <v>0</v>
      </c>
      <c r="X220" s="1">
        <f>IF(O220=Schraubenlänge!$C$3,1,0)</f>
        <v>0</v>
      </c>
      <c r="Y220" s="1">
        <f>IF(P220=Schraubenlänge!$D$3,1,0)</f>
        <v>0</v>
      </c>
      <c r="Z220" s="1">
        <f t="shared" si="7"/>
        <v>0</v>
      </c>
    </row>
    <row r="221" spans="14:26" x14ac:dyDescent="0.25">
      <c r="N221" s="1" t="s">
        <v>52</v>
      </c>
      <c r="O221" s="11">
        <v>20</v>
      </c>
      <c r="P221" s="11">
        <v>6</v>
      </c>
      <c r="Q221" s="11">
        <v>4</v>
      </c>
      <c r="R221" s="11" t="s">
        <v>32</v>
      </c>
      <c r="S221" s="11">
        <v>14</v>
      </c>
      <c r="T221" s="11">
        <v>0</v>
      </c>
      <c r="U221" s="11">
        <v>10</v>
      </c>
      <c r="W221" s="1">
        <f>IF(N221=Schraubenlänge!$B$3,1,0)</f>
        <v>0</v>
      </c>
      <c r="X221" s="1">
        <f>IF(O221=Schraubenlänge!$C$3,1,0)</f>
        <v>0</v>
      </c>
      <c r="Y221" s="1">
        <f>IF(P221=Schraubenlänge!$D$3,1,0)</f>
        <v>0</v>
      </c>
      <c r="Z221" s="1">
        <f t="shared" si="7"/>
        <v>0</v>
      </c>
    </row>
    <row r="222" spans="14:26" x14ac:dyDescent="0.25">
      <c r="N222" s="1" t="s">
        <v>52</v>
      </c>
      <c r="O222" s="11">
        <v>25</v>
      </c>
      <c r="P222" s="11">
        <v>6</v>
      </c>
      <c r="Q222" s="11">
        <v>4</v>
      </c>
      <c r="R222" s="11" t="s">
        <v>32</v>
      </c>
      <c r="S222" s="11">
        <v>14</v>
      </c>
      <c r="T222" s="11">
        <v>0</v>
      </c>
      <c r="U222" s="11">
        <v>10</v>
      </c>
      <c r="W222" s="1">
        <f>IF(N222=Schraubenlänge!$B$3,1,0)</f>
        <v>0</v>
      </c>
      <c r="X222" s="1">
        <f>IF(O222=Schraubenlänge!$C$3,1,0)</f>
        <v>0</v>
      </c>
      <c r="Y222" s="1">
        <f>IF(P222=Schraubenlänge!$D$3,1,0)</f>
        <v>0</v>
      </c>
      <c r="Z222" s="1">
        <f t="shared" si="7"/>
        <v>0</v>
      </c>
    </row>
    <row r="223" spans="14:26" x14ac:dyDescent="0.25">
      <c r="N223" s="1" t="s">
        <v>52</v>
      </c>
      <c r="O223" s="11">
        <v>32</v>
      </c>
      <c r="P223" s="11">
        <v>6</v>
      </c>
      <c r="Q223" s="11">
        <v>4</v>
      </c>
      <c r="R223" s="11" t="s">
        <v>9</v>
      </c>
      <c r="S223" s="11">
        <v>16</v>
      </c>
      <c r="T223" s="11">
        <v>0</v>
      </c>
      <c r="U223" s="11">
        <v>10</v>
      </c>
      <c r="W223" s="1">
        <f>IF(N223=Schraubenlänge!$B$3,1,0)</f>
        <v>0</v>
      </c>
      <c r="X223" s="1">
        <f>IF(O223=Schraubenlänge!$C$3,1,0)</f>
        <v>0</v>
      </c>
      <c r="Y223" s="1">
        <f>IF(P223=Schraubenlänge!$D$3,1,0)</f>
        <v>0</v>
      </c>
      <c r="Z223" s="1">
        <f t="shared" si="7"/>
        <v>0</v>
      </c>
    </row>
    <row r="224" spans="14:26" x14ac:dyDescent="0.25">
      <c r="N224" s="1" t="s">
        <v>52</v>
      </c>
      <c r="O224" s="11">
        <v>40</v>
      </c>
      <c r="P224" s="11">
        <v>6</v>
      </c>
      <c r="Q224" s="11">
        <v>4</v>
      </c>
      <c r="R224" s="11" t="s">
        <v>9</v>
      </c>
      <c r="S224" s="11">
        <v>16</v>
      </c>
      <c r="T224" s="11">
        <v>0</v>
      </c>
      <c r="U224" s="11">
        <v>10</v>
      </c>
      <c r="W224" s="1">
        <f>IF(N224=Schraubenlänge!$B$3,1,0)</f>
        <v>0</v>
      </c>
      <c r="X224" s="1">
        <f>IF(O224=Schraubenlänge!$C$3,1,0)</f>
        <v>0</v>
      </c>
      <c r="Y224" s="1">
        <f>IF(P224=Schraubenlänge!$D$3,1,0)</f>
        <v>0</v>
      </c>
      <c r="Z224" s="1">
        <f t="shared" si="7"/>
        <v>0</v>
      </c>
    </row>
    <row r="225" spans="14:26" x14ac:dyDescent="0.25">
      <c r="N225" s="1" t="s">
        <v>52</v>
      </c>
      <c r="O225" s="11">
        <v>50</v>
      </c>
      <c r="P225" s="11">
        <v>6</v>
      </c>
      <c r="Q225" s="11">
        <v>4</v>
      </c>
      <c r="R225" s="11" t="s">
        <v>9</v>
      </c>
      <c r="S225" s="11">
        <v>16</v>
      </c>
      <c r="T225" s="11">
        <v>0</v>
      </c>
      <c r="U225" s="11">
        <v>12</v>
      </c>
      <c r="W225" s="1">
        <f>IF(N225=Schraubenlänge!$B$3,1,0)</f>
        <v>0</v>
      </c>
      <c r="X225" s="1">
        <f>IF(O225=Schraubenlänge!$C$3,1,0)</f>
        <v>0</v>
      </c>
      <c r="Y225" s="1">
        <f>IF(P225=Schraubenlänge!$D$3,1,0)</f>
        <v>0</v>
      </c>
      <c r="Z225" s="1">
        <f t="shared" si="7"/>
        <v>0</v>
      </c>
    </row>
    <row r="226" spans="14:26" x14ac:dyDescent="0.25">
      <c r="N226" s="1" t="s">
        <v>52</v>
      </c>
      <c r="O226" s="11">
        <v>65</v>
      </c>
      <c r="P226" s="11">
        <v>6</v>
      </c>
      <c r="Q226" s="11">
        <v>4</v>
      </c>
      <c r="R226" s="11" t="s">
        <v>9</v>
      </c>
      <c r="S226" s="11">
        <v>16</v>
      </c>
      <c r="T226" s="11">
        <v>0</v>
      </c>
      <c r="U226" s="11">
        <v>12</v>
      </c>
      <c r="W226" s="1">
        <f>IF(N226=Schraubenlänge!$B$3,1,0)</f>
        <v>0</v>
      </c>
      <c r="X226" s="1">
        <f>IF(O226=Schraubenlänge!$C$3,1,0)</f>
        <v>0</v>
      </c>
      <c r="Y226" s="1">
        <f>IF(P226=Schraubenlänge!$D$3,1,0)</f>
        <v>0</v>
      </c>
      <c r="Z226" s="1">
        <f t="shared" si="7"/>
        <v>0</v>
      </c>
    </row>
    <row r="227" spans="14:26" x14ac:dyDescent="0.25">
      <c r="N227" s="1" t="s">
        <v>52</v>
      </c>
      <c r="O227" s="11">
        <v>80</v>
      </c>
      <c r="P227" s="11">
        <v>6</v>
      </c>
      <c r="Q227" s="11">
        <v>4</v>
      </c>
      <c r="R227" s="11" t="s">
        <v>10</v>
      </c>
      <c r="S227" s="11">
        <v>18</v>
      </c>
      <c r="T227" s="11">
        <v>0</v>
      </c>
      <c r="U227" s="11">
        <v>12</v>
      </c>
      <c r="W227" s="1">
        <f>IF(N227=Schraubenlänge!$B$3,1,0)</f>
        <v>0</v>
      </c>
      <c r="X227" s="1">
        <f>IF(O227=Schraubenlänge!$C$3,1,0)</f>
        <v>0</v>
      </c>
      <c r="Y227" s="1">
        <f>IF(P227=Schraubenlänge!$D$3,1,0)</f>
        <v>0</v>
      </c>
      <c r="Z227" s="1">
        <f t="shared" si="7"/>
        <v>0</v>
      </c>
    </row>
    <row r="228" spans="14:26" x14ac:dyDescent="0.25">
      <c r="N228" s="1" t="s">
        <v>52</v>
      </c>
      <c r="O228" s="11">
        <v>100</v>
      </c>
      <c r="P228" s="11">
        <v>6</v>
      </c>
      <c r="Q228" s="11">
        <v>4</v>
      </c>
      <c r="R228" s="11" t="s">
        <v>10</v>
      </c>
      <c r="S228" s="11">
        <v>18</v>
      </c>
      <c r="T228" s="11">
        <v>0</v>
      </c>
      <c r="U228" s="11">
        <v>14</v>
      </c>
      <c r="W228" s="1">
        <f>IF(N228=Schraubenlänge!$B$3,1,0)</f>
        <v>0</v>
      </c>
      <c r="X228" s="1">
        <f>IF(O228=Schraubenlänge!$C$3,1,0)</f>
        <v>0</v>
      </c>
      <c r="Y228" s="1">
        <f>IF(P228=Schraubenlänge!$D$3,1,0)</f>
        <v>0</v>
      </c>
      <c r="Z228" s="1">
        <f t="shared" si="7"/>
        <v>0</v>
      </c>
    </row>
    <row r="229" spans="14:26" x14ac:dyDescent="0.25">
      <c r="N229" s="1" t="s">
        <v>52</v>
      </c>
      <c r="O229" s="11">
        <v>125</v>
      </c>
      <c r="P229" s="11">
        <v>6</v>
      </c>
      <c r="Q229" s="11">
        <v>8</v>
      </c>
      <c r="R229" s="11" t="s">
        <v>10</v>
      </c>
      <c r="S229" s="11">
        <v>20</v>
      </c>
      <c r="T229" s="11">
        <v>0</v>
      </c>
      <c r="U229" s="11">
        <v>14</v>
      </c>
      <c r="W229" s="1">
        <f>IF(N229=Schraubenlänge!$B$3,1,0)</f>
        <v>0</v>
      </c>
      <c r="X229" s="1">
        <f>IF(O229=Schraubenlänge!$C$3,1,0)</f>
        <v>0</v>
      </c>
      <c r="Y229" s="1">
        <f>IF(P229=Schraubenlänge!$D$3,1,0)</f>
        <v>0</v>
      </c>
      <c r="Z229" s="1">
        <f t="shared" si="7"/>
        <v>0</v>
      </c>
    </row>
    <row r="230" spans="14:26" x14ac:dyDescent="0.25">
      <c r="N230" s="1" t="s">
        <v>52</v>
      </c>
      <c r="O230" s="11">
        <v>150</v>
      </c>
      <c r="P230" s="11">
        <v>6</v>
      </c>
      <c r="Q230" s="11">
        <v>8</v>
      </c>
      <c r="R230" s="11" t="s">
        <v>10</v>
      </c>
      <c r="S230" s="11">
        <v>20</v>
      </c>
      <c r="T230" s="11">
        <v>0</v>
      </c>
      <c r="U230" s="11">
        <v>14</v>
      </c>
      <c r="W230" s="1">
        <f>IF(N230=Schraubenlänge!$B$3,1,0)</f>
        <v>0</v>
      </c>
      <c r="X230" s="1">
        <f>IF(O230=Schraubenlänge!$C$3,1,0)</f>
        <v>1</v>
      </c>
      <c r="Y230" s="1">
        <f>IF(P230=Schraubenlänge!$D$3,1,0)</f>
        <v>0</v>
      </c>
      <c r="Z230" s="1">
        <f t="shared" si="7"/>
        <v>0</v>
      </c>
    </row>
    <row r="231" spans="14:26" x14ac:dyDescent="0.25">
      <c r="N231" s="1" t="s">
        <v>52</v>
      </c>
      <c r="O231" s="11">
        <v>200</v>
      </c>
      <c r="P231" s="11">
        <v>6</v>
      </c>
      <c r="Q231" s="11">
        <v>8</v>
      </c>
      <c r="R231" s="11" t="s">
        <v>10</v>
      </c>
      <c r="S231" s="11">
        <v>22</v>
      </c>
      <c r="T231" s="11">
        <v>0</v>
      </c>
      <c r="U231" s="11">
        <v>16</v>
      </c>
      <c r="W231" s="1">
        <f>IF(N231=Schraubenlänge!$B$3,1,0)</f>
        <v>0</v>
      </c>
      <c r="X231" s="1">
        <f>IF(O231=Schraubenlänge!$C$3,1,0)</f>
        <v>0</v>
      </c>
      <c r="Y231" s="1">
        <f>IF(P231=Schraubenlänge!$D$3,1,0)</f>
        <v>0</v>
      </c>
      <c r="Z231" s="1">
        <f t="shared" si="7"/>
        <v>0</v>
      </c>
    </row>
    <row r="232" spans="14:26" x14ac:dyDescent="0.25">
      <c r="N232" s="1" t="s">
        <v>52</v>
      </c>
      <c r="O232" s="11">
        <v>250</v>
      </c>
      <c r="P232" s="11">
        <v>6</v>
      </c>
      <c r="Q232" s="11">
        <v>12</v>
      </c>
      <c r="R232" s="11" t="s">
        <v>10</v>
      </c>
      <c r="S232" s="11">
        <v>24</v>
      </c>
      <c r="T232" s="11">
        <v>0</v>
      </c>
      <c r="U232" s="11">
        <v>18</v>
      </c>
      <c r="W232" s="1">
        <f>IF(N232=Schraubenlänge!$B$3,1,0)</f>
        <v>0</v>
      </c>
      <c r="X232" s="1">
        <f>IF(O232=Schraubenlänge!$C$3,1,0)</f>
        <v>0</v>
      </c>
      <c r="Y232" s="1">
        <f>IF(P232=Schraubenlänge!$D$3,1,0)</f>
        <v>0</v>
      </c>
      <c r="Z232" s="1">
        <f t="shared" si="7"/>
        <v>0</v>
      </c>
    </row>
    <row r="233" spans="14:26" x14ac:dyDescent="0.25">
      <c r="N233" s="1" t="s">
        <v>52</v>
      </c>
      <c r="O233" s="11">
        <v>300</v>
      </c>
      <c r="P233" s="11">
        <v>6</v>
      </c>
      <c r="Q233" s="11">
        <v>12</v>
      </c>
      <c r="R233" s="11" t="s">
        <v>5</v>
      </c>
      <c r="S233" s="11">
        <v>24</v>
      </c>
      <c r="T233" s="11">
        <v>0</v>
      </c>
      <c r="U233" s="11">
        <v>18</v>
      </c>
      <c r="W233" s="1">
        <f>IF(N233=Schraubenlänge!$B$3,1,0)</f>
        <v>0</v>
      </c>
      <c r="X233" s="1">
        <f>IF(O233=Schraubenlänge!$C$3,1,0)</f>
        <v>0</v>
      </c>
      <c r="Y233" s="1">
        <f>IF(P233=Schraubenlänge!$D$3,1,0)</f>
        <v>0</v>
      </c>
      <c r="Z233" s="1">
        <f t="shared" si="7"/>
        <v>0</v>
      </c>
    </row>
    <row r="234" spans="14:26" x14ac:dyDescent="0.25">
      <c r="N234" s="1" t="s">
        <v>52</v>
      </c>
      <c r="O234" s="11">
        <v>350</v>
      </c>
      <c r="P234" s="11">
        <v>6</v>
      </c>
      <c r="Q234" s="11">
        <v>12</v>
      </c>
      <c r="R234" s="11" t="s">
        <v>5</v>
      </c>
      <c r="S234" s="11">
        <v>26</v>
      </c>
      <c r="T234" s="11">
        <v>0</v>
      </c>
      <c r="U234" s="11">
        <v>18</v>
      </c>
      <c r="W234" s="1">
        <f>IF(N234=Schraubenlänge!$B$3,1,0)</f>
        <v>0</v>
      </c>
      <c r="X234" s="1">
        <f>IF(O234=Schraubenlänge!$C$3,1,0)</f>
        <v>0</v>
      </c>
      <c r="Y234" s="1">
        <f>IF(P234=Schraubenlänge!$D$3,1,0)</f>
        <v>0</v>
      </c>
      <c r="Z234" s="1">
        <f t="shared" si="7"/>
        <v>0</v>
      </c>
    </row>
    <row r="235" spans="14:26" x14ac:dyDescent="0.25">
      <c r="N235" s="1" t="s">
        <v>52</v>
      </c>
      <c r="O235" s="11">
        <v>400</v>
      </c>
      <c r="P235" s="11">
        <v>6</v>
      </c>
      <c r="Q235" s="11">
        <v>16</v>
      </c>
      <c r="R235" s="11" t="s">
        <v>5</v>
      </c>
      <c r="S235" s="11">
        <v>28</v>
      </c>
      <c r="T235" s="11">
        <v>0</v>
      </c>
      <c r="U235" s="11">
        <v>20</v>
      </c>
      <c r="W235" s="1">
        <f>IF(N235=Schraubenlänge!$B$3,1,0)</f>
        <v>0</v>
      </c>
      <c r="X235" s="1">
        <f>IF(O235=Schraubenlänge!$C$3,1,0)</f>
        <v>0</v>
      </c>
      <c r="Y235" s="1">
        <f>IF(P235=Schraubenlänge!$D$3,1,0)</f>
        <v>0</v>
      </c>
      <c r="Z235" s="1">
        <f t="shared" si="7"/>
        <v>0</v>
      </c>
    </row>
    <row r="236" spans="14:26" x14ac:dyDescent="0.25">
      <c r="N236" s="1" t="s">
        <v>52</v>
      </c>
      <c r="O236" s="11">
        <v>450</v>
      </c>
      <c r="P236" s="11">
        <v>6</v>
      </c>
      <c r="Q236" s="11">
        <v>16</v>
      </c>
      <c r="R236" s="11" t="s">
        <v>5</v>
      </c>
      <c r="S236" s="11">
        <v>30</v>
      </c>
      <c r="T236" s="11">
        <v>0</v>
      </c>
      <c r="U236" s="11">
        <v>20</v>
      </c>
      <c r="W236" s="1">
        <f>IF(N236=Schraubenlänge!$B$3,1,0)</f>
        <v>0</v>
      </c>
      <c r="X236" s="1">
        <f>IF(O236=Schraubenlänge!$C$3,1,0)</f>
        <v>0</v>
      </c>
      <c r="Y236" s="1">
        <f>IF(P236=Schraubenlänge!$D$3,1,0)</f>
        <v>0</v>
      </c>
      <c r="Z236" s="1">
        <f t="shared" si="7"/>
        <v>0</v>
      </c>
    </row>
    <row r="237" spans="14:26" x14ac:dyDescent="0.25">
      <c r="N237" s="1" t="s">
        <v>52</v>
      </c>
      <c r="O237" s="11">
        <v>500</v>
      </c>
      <c r="P237" s="11">
        <v>6</v>
      </c>
      <c r="Q237" s="11">
        <v>20</v>
      </c>
      <c r="R237" s="11" t="s">
        <v>5</v>
      </c>
      <c r="S237" s="11">
        <v>30</v>
      </c>
      <c r="T237" s="11">
        <v>0</v>
      </c>
      <c r="U237" s="11">
        <v>22</v>
      </c>
      <c r="W237" s="1">
        <f>IF(N237=Schraubenlänge!$B$3,1,0)</f>
        <v>0</v>
      </c>
      <c r="X237" s="1">
        <f>IF(O237=Schraubenlänge!$C$3,1,0)</f>
        <v>0</v>
      </c>
      <c r="Y237" s="1">
        <f>IF(P237=Schraubenlänge!$D$3,1,0)</f>
        <v>0</v>
      </c>
      <c r="Z237" s="1">
        <f t="shared" si="7"/>
        <v>0</v>
      </c>
    </row>
    <row r="238" spans="14:26" x14ac:dyDescent="0.25">
      <c r="N238" s="1" t="s">
        <v>52</v>
      </c>
      <c r="O238" s="11">
        <v>600</v>
      </c>
      <c r="P238" s="11">
        <v>6</v>
      </c>
      <c r="Q238" s="11">
        <v>20</v>
      </c>
      <c r="R238" s="11" t="s">
        <v>7</v>
      </c>
      <c r="S238" s="11">
        <v>32</v>
      </c>
      <c r="T238" s="11">
        <v>0</v>
      </c>
      <c r="U238" s="11">
        <v>22</v>
      </c>
      <c r="W238" s="1">
        <f>IF(N238=Schraubenlänge!$B$3,1,0)</f>
        <v>0</v>
      </c>
      <c r="X238" s="1">
        <f>IF(O238=Schraubenlänge!$C$3,1,0)</f>
        <v>0</v>
      </c>
      <c r="Y238" s="1">
        <f>IF(P238=Schraubenlänge!$D$3,1,0)</f>
        <v>0</v>
      </c>
      <c r="Z238" s="1">
        <f t="shared" si="7"/>
        <v>0</v>
      </c>
    </row>
    <row r="239" spans="14:26" x14ac:dyDescent="0.25">
      <c r="N239" s="1" t="s">
        <v>52</v>
      </c>
      <c r="O239" s="11">
        <v>200</v>
      </c>
      <c r="P239" s="11">
        <v>10</v>
      </c>
      <c r="Q239" s="11">
        <v>8</v>
      </c>
      <c r="R239" s="11" t="s">
        <v>5</v>
      </c>
      <c r="S239" s="11">
        <v>24</v>
      </c>
      <c r="T239" s="11">
        <v>0</v>
      </c>
      <c r="U239" s="11">
        <v>20</v>
      </c>
      <c r="W239" s="1">
        <f>IF(N239=Schraubenlänge!$B$3,1,0)</f>
        <v>0</v>
      </c>
      <c r="X239" s="1">
        <f>IF(O239=Schraubenlänge!$C$3,1,0)</f>
        <v>0</v>
      </c>
      <c r="Y239" s="1">
        <f>IF(P239=Schraubenlänge!$D$3,1,0)</f>
        <v>0</v>
      </c>
      <c r="Z239" s="1">
        <f t="shared" si="7"/>
        <v>0</v>
      </c>
    </row>
    <row r="240" spans="14:26" x14ac:dyDescent="0.25">
      <c r="N240" s="1" t="s">
        <v>52</v>
      </c>
      <c r="O240" s="11">
        <v>250</v>
      </c>
      <c r="P240" s="11">
        <v>10</v>
      </c>
      <c r="Q240" s="11">
        <v>12</v>
      </c>
      <c r="R240" s="11" t="s">
        <v>5</v>
      </c>
      <c r="S240" s="11">
        <v>26</v>
      </c>
      <c r="T240" s="11">
        <v>0</v>
      </c>
      <c r="U240" s="11">
        <v>22</v>
      </c>
      <c r="W240" s="1">
        <f>IF(N240=Schraubenlänge!$B$3,1,0)</f>
        <v>0</v>
      </c>
      <c r="X240" s="1">
        <f>IF(O240=Schraubenlänge!$C$3,1,0)</f>
        <v>0</v>
      </c>
      <c r="Y240" s="1">
        <f>IF(P240=Schraubenlänge!$D$3,1,0)</f>
        <v>0</v>
      </c>
      <c r="Z240" s="1">
        <f t="shared" si="7"/>
        <v>0</v>
      </c>
    </row>
    <row r="241" spans="14:26" x14ac:dyDescent="0.25">
      <c r="N241" s="1" t="s">
        <v>52</v>
      </c>
      <c r="O241" s="11">
        <v>300</v>
      </c>
      <c r="P241" s="11">
        <v>10</v>
      </c>
      <c r="Q241" s="11">
        <v>12</v>
      </c>
      <c r="R241" s="11" t="s">
        <v>5</v>
      </c>
      <c r="S241" s="11">
        <v>26</v>
      </c>
      <c r="T241" s="11">
        <v>0</v>
      </c>
      <c r="U241" s="11">
        <v>22</v>
      </c>
      <c r="W241" s="1">
        <f>IF(N241=Schraubenlänge!$B$3,1,0)</f>
        <v>0</v>
      </c>
      <c r="X241" s="1">
        <f>IF(O241=Schraubenlänge!$C$3,1,0)</f>
        <v>0</v>
      </c>
      <c r="Y241" s="1">
        <f>IF(P241=Schraubenlänge!$D$3,1,0)</f>
        <v>0</v>
      </c>
      <c r="Z241" s="1">
        <f t="shared" si="7"/>
        <v>0</v>
      </c>
    </row>
    <row r="242" spans="14:26" x14ac:dyDescent="0.25">
      <c r="N242" s="1" t="s">
        <v>52</v>
      </c>
      <c r="O242" s="11">
        <v>350</v>
      </c>
      <c r="P242" s="11">
        <v>10</v>
      </c>
      <c r="Q242" s="11">
        <v>16</v>
      </c>
      <c r="R242" s="11" t="s">
        <v>5</v>
      </c>
      <c r="S242" s="11">
        <v>30</v>
      </c>
      <c r="T242" s="11">
        <v>0</v>
      </c>
      <c r="U242" s="11">
        <v>22</v>
      </c>
      <c r="W242" s="1">
        <f>IF(N242=Schraubenlänge!$B$3,1,0)</f>
        <v>0</v>
      </c>
      <c r="X242" s="1">
        <f>IF(O242=Schraubenlänge!$C$3,1,0)</f>
        <v>0</v>
      </c>
      <c r="Y242" s="1">
        <f>IF(P242=Schraubenlänge!$D$3,1,0)</f>
        <v>0</v>
      </c>
      <c r="Z242" s="1">
        <f t="shared" si="7"/>
        <v>0</v>
      </c>
    </row>
    <row r="243" spans="14:26" x14ac:dyDescent="0.25">
      <c r="N243" s="1" t="s">
        <v>52</v>
      </c>
      <c r="O243" s="11">
        <v>400</v>
      </c>
      <c r="P243" s="11">
        <v>10</v>
      </c>
      <c r="Q243" s="11">
        <v>16</v>
      </c>
      <c r="R243" s="11" t="s">
        <v>7</v>
      </c>
      <c r="S243" s="11">
        <v>32</v>
      </c>
      <c r="T243" s="11">
        <v>0</v>
      </c>
      <c r="U243" s="11">
        <v>24</v>
      </c>
      <c r="W243" s="1">
        <f>IF(N243=Schraubenlänge!$B$3,1,0)</f>
        <v>0</v>
      </c>
      <c r="X243" s="1">
        <f>IF(O243=Schraubenlänge!$C$3,1,0)</f>
        <v>0</v>
      </c>
      <c r="Y243" s="1">
        <f>IF(P243=Schraubenlänge!$D$3,1,0)</f>
        <v>0</v>
      </c>
      <c r="Z243" s="1">
        <f t="shared" si="7"/>
        <v>0</v>
      </c>
    </row>
    <row r="244" spans="14:26" x14ac:dyDescent="0.25">
      <c r="N244" s="1" t="s">
        <v>52</v>
      </c>
      <c r="O244" s="11">
        <v>450</v>
      </c>
      <c r="P244" s="11">
        <v>10</v>
      </c>
      <c r="Q244" s="11">
        <v>20</v>
      </c>
      <c r="R244" s="11" t="s">
        <v>7</v>
      </c>
      <c r="S244" s="11">
        <v>36</v>
      </c>
      <c r="T244" s="11">
        <v>0</v>
      </c>
      <c r="U244" s="11">
        <v>24</v>
      </c>
      <c r="W244" s="1">
        <f>IF(N244=Schraubenlänge!$B$3,1,0)</f>
        <v>0</v>
      </c>
      <c r="X244" s="1">
        <f>IF(O244=Schraubenlänge!$C$3,1,0)</f>
        <v>0</v>
      </c>
      <c r="Y244" s="1">
        <f>IF(P244=Schraubenlänge!$D$3,1,0)</f>
        <v>0</v>
      </c>
      <c r="Z244" s="1">
        <f t="shared" si="7"/>
        <v>0</v>
      </c>
    </row>
    <row r="245" spans="14:26" x14ac:dyDescent="0.25">
      <c r="N245" s="1" t="s">
        <v>52</v>
      </c>
      <c r="O245" s="11">
        <v>500</v>
      </c>
      <c r="P245" s="11">
        <v>10</v>
      </c>
      <c r="Q245" s="11">
        <v>20</v>
      </c>
      <c r="R245" s="11" t="s">
        <v>7</v>
      </c>
      <c r="S245" s="11">
        <v>38</v>
      </c>
      <c r="T245" s="11">
        <v>0</v>
      </c>
      <c r="U245" s="11">
        <v>26</v>
      </c>
      <c r="W245" s="1">
        <f>IF(N245=Schraubenlänge!$B$3,1,0)</f>
        <v>0</v>
      </c>
      <c r="X245" s="1">
        <f>IF(O245=Schraubenlänge!$C$3,1,0)</f>
        <v>0</v>
      </c>
      <c r="Y245" s="1">
        <f>IF(P245=Schraubenlänge!$D$3,1,0)</f>
        <v>0</v>
      </c>
      <c r="Z245" s="1">
        <f t="shared" si="7"/>
        <v>0</v>
      </c>
    </row>
    <row r="246" spans="14:26" x14ac:dyDescent="0.25">
      <c r="N246" s="1" t="s">
        <v>52</v>
      </c>
      <c r="O246" s="11">
        <v>600</v>
      </c>
      <c r="P246" s="11">
        <v>10</v>
      </c>
      <c r="Q246" s="11">
        <v>20</v>
      </c>
      <c r="R246" s="11" t="s">
        <v>8</v>
      </c>
      <c r="S246" s="11">
        <v>42</v>
      </c>
      <c r="T246" s="11">
        <v>0</v>
      </c>
      <c r="U246" s="11">
        <v>26</v>
      </c>
      <c r="W246" s="1">
        <f>IF(N246=Schraubenlänge!$B$3,1,0)</f>
        <v>0</v>
      </c>
      <c r="X246" s="1">
        <f>IF(O246=Schraubenlänge!$C$3,1,0)</f>
        <v>0</v>
      </c>
      <c r="Y246" s="1">
        <f>IF(P246=Schraubenlänge!$D$3,1,0)</f>
        <v>0</v>
      </c>
      <c r="Z246" s="1">
        <f t="shared" si="7"/>
        <v>0</v>
      </c>
    </row>
    <row r="247" spans="14:26" x14ac:dyDescent="0.25">
      <c r="N247" s="1" t="s">
        <v>52</v>
      </c>
      <c r="O247" s="11">
        <v>10</v>
      </c>
      <c r="P247" s="11">
        <v>40</v>
      </c>
      <c r="Q247" s="11">
        <v>4</v>
      </c>
      <c r="R247" s="11" t="s">
        <v>9</v>
      </c>
      <c r="S247" s="11">
        <v>14</v>
      </c>
      <c r="T247" s="11">
        <v>0</v>
      </c>
      <c r="U247" s="11">
        <v>12</v>
      </c>
      <c r="W247" s="1">
        <f>IF(N247=Schraubenlänge!$B$3,1,0)</f>
        <v>0</v>
      </c>
      <c r="X247" s="1">
        <f>IF(O247=Schraubenlänge!$C$3,1,0)</f>
        <v>0</v>
      </c>
      <c r="Y247" s="1">
        <f>IF(P247=Schraubenlänge!$D$3,1,0)</f>
        <v>1</v>
      </c>
      <c r="Z247" s="1">
        <f t="shared" ref="Z247:Z266" si="8">W247*X247*Y247</f>
        <v>0</v>
      </c>
    </row>
    <row r="248" spans="14:26" x14ac:dyDescent="0.25">
      <c r="N248" s="1" t="s">
        <v>52</v>
      </c>
      <c r="O248" s="11">
        <v>15</v>
      </c>
      <c r="P248" s="11">
        <v>40</v>
      </c>
      <c r="Q248" s="11">
        <v>4</v>
      </c>
      <c r="R248" s="11" t="s">
        <v>9</v>
      </c>
      <c r="S248" s="11">
        <v>14</v>
      </c>
      <c r="T248" s="11">
        <v>0</v>
      </c>
      <c r="U248" s="11">
        <v>12</v>
      </c>
      <c r="W248" s="1">
        <f>IF(N248=Schraubenlänge!$B$3,1,0)</f>
        <v>0</v>
      </c>
      <c r="X248" s="1">
        <f>IF(O248=Schraubenlänge!$C$3,1,0)</f>
        <v>0</v>
      </c>
      <c r="Y248" s="1">
        <f>IF(P248=Schraubenlänge!$D$3,1,0)</f>
        <v>1</v>
      </c>
      <c r="Z248" s="1">
        <f t="shared" si="8"/>
        <v>0</v>
      </c>
    </row>
    <row r="249" spans="14:26" x14ac:dyDescent="0.25">
      <c r="N249" s="1" t="s">
        <v>52</v>
      </c>
      <c r="O249" s="11">
        <v>20</v>
      </c>
      <c r="P249" s="11">
        <v>40</v>
      </c>
      <c r="Q249" s="11">
        <v>4</v>
      </c>
      <c r="R249" s="11" t="s">
        <v>9</v>
      </c>
      <c r="S249" s="11">
        <v>16</v>
      </c>
      <c r="T249" s="11">
        <v>0</v>
      </c>
      <c r="U249" s="11">
        <v>14</v>
      </c>
      <c r="W249" s="1">
        <f>IF(N249=Schraubenlänge!$B$3,1,0)</f>
        <v>0</v>
      </c>
      <c r="X249" s="1">
        <f>IF(O249=Schraubenlänge!$C$3,1,0)</f>
        <v>0</v>
      </c>
      <c r="Y249" s="1">
        <f>IF(P249=Schraubenlänge!$D$3,1,0)</f>
        <v>1</v>
      </c>
      <c r="Z249" s="1">
        <f t="shared" si="8"/>
        <v>0</v>
      </c>
    </row>
    <row r="250" spans="14:26" x14ac:dyDescent="0.25">
      <c r="N250" s="1" t="s">
        <v>52</v>
      </c>
      <c r="O250" s="11">
        <v>25</v>
      </c>
      <c r="P250" s="11">
        <v>40</v>
      </c>
      <c r="Q250" s="11">
        <v>4</v>
      </c>
      <c r="R250" s="11" t="s">
        <v>9</v>
      </c>
      <c r="S250" s="11">
        <v>16</v>
      </c>
      <c r="T250" s="11">
        <v>0</v>
      </c>
      <c r="U250" s="11">
        <v>14</v>
      </c>
      <c r="W250" s="1">
        <f>IF(N250=Schraubenlänge!$B$3,1,0)</f>
        <v>0</v>
      </c>
      <c r="X250" s="1">
        <f>IF(O250=Schraubenlänge!$C$3,1,0)</f>
        <v>0</v>
      </c>
      <c r="Y250" s="1">
        <f>IF(P250=Schraubenlänge!$D$3,1,0)</f>
        <v>1</v>
      </c>
      <c r="Z250" s="1">
        <f t="shared" si="8"/>
        <v>0</v>
      </c>
    </row>
    <row r="251" spans="14:26" x14ac:dyDescent="0.25">
      <c r="N251" s="1" t="s">
        <v>52</v>
      </c>
      <c r="O251" s="11">
        <v>32</v>
      </c>
      <c r="P251" s="11">
        <v>40</v>
      </c>
      <c r="Q251" s="11">
        <v>4</v>
      </c>
      <c r="R251" s="11" t="s">
        <v>10</v>
      </c>
      <c r="S251" s="11">
        <v>18</v>
      </c>
      <c r="T251" s="11">
        <v>0</v>
      </c>
      <c r="U251" s="11">
        <v>14</v>
      </c>
      <c r="W251" s="1">
        <f>IF(N251=Schraubenlänge!$B$3,1,0)</f>
        <v>0</v>
      </c>
      <c r="X251" s="1">
        <f>IF(O251=Schraubenlänge!$C$3,1,0)</f>
        <v>0</v>
      </c>
      <c r="Y251" s="1">
        <f>IF(P251=Schraubenlänge!$D$3,1,0)</f>
        <v>1</v>
      </c>
      <c r="Z251" s="1">
        <f t="shared" si="8"/>
        <v>0</v>
      </c>
    </row>
    <row r="252" spans="14:26" x14ac:dyDescent="0.25">
      <c r="N252" s="1" t="s">
        <v>52</v>
      </c>
      <c r="O252" s="11">
        <v>40</v>
      </c>
      <c r="P252" s="11">
        <v>40</v>
      </c>
      <c r="Q252" s="11">
        <v>4</v>
      </c>
      <c r="R252" s="11" t="s">
        <v>10</v>
      </c>
      <c r="S252" s="11">
        <v>18</v>
      </c>
      <c r="T252" s="11">
        <v>0</v>
      </c>
      <c r="U252" s="11">
        <v>14</v>
      </c>
      <c r="W252" s="1">
        <f>IF(N252=Schraubenlänge!$B$3,1,0)</f>
        <v>0</v>
      </c>
      <c r="X252" s="1">
        <f>IF(O252=Schraubenlänge!$C$3,1,0)</f>
        <v>0</v>
      </c>
      <c r="Y252" s="1">
        <f>IF(P252=Schraubenlänge!$D$3,1,0)</f>
        <v>1</v>
      </c>
      <c r="Z252" s="1">
        <f t="shared" si="8"/>
        <v>0</v>
      </c>
    </row>
    <row r="253" spans="14:26" x14ac:dyDescent="0.25">
      <c r="N253" s="1" t="s">
        <v>52</v>
      </c>
      <c r="O253" s="11">
        <v>50</v>
      </c>
      <c r="P253" s="11">
        <v>40</v>
      </c>
      <c r="Q253" s="11">
        <v>4</v>
      </c>
      <c r="R253" s="11" t="s">
        <v>10</v>
      </c>
      <c r="S253" s="11">
        <v>20</v>
      </c>
      <c r="T253" s="11">
        <v>0</v>
      </c>
      <c r="U253" s="11">
        <v>16</v>
      </c>
      <c r="W253" s="1">
        <f>IF(N253=Schraubenlänge!$B$3,1,0)</f>
        <v>0</v>
      </c>
      <c r="X253" s="1">
        <f>IF(O253=Schraubenlänge!$C$3,1,0)</f>
        <v>0</v>
      </c>
      <c r="Y253" s="1">
        <f>IF(P253=Schraubenlänge!$D$3,1,0)</f>
        <v>1</v>
      </c>
      <c r="Z253" s="1">
        <f t="shared" si="8"/>
        <v>0</v>
      </c>
    </row>
    <row r="254" spans="14:26" x14ac:dyDescent="0.25">
      <c r="N254" s="1" t="s">
        <v>52</v>
      </c>
      <c r="O254" s="11">
        <v>65</v>
      </c>
      <c r="P254" s="11">
        <v>40</v>
      </c>
      <c r="Q254" s="11">
        <v>8</v>
      </c>
      <c r="R254" s="11" t="s">
        <v>10</v>
      </c>
      <c r="S254" s="11">
        <v>22</v>
      </c>
      <c r="T254" s="11">
        <v>0</v>
      </c>
      <c r="U254" s="11">
        <v>16</v>
      </c>
      <c r="W254" s="1">
        <f>IF(N254=Schraubenlänge!$B$3,1,0)</f>
        <v>0</v>
      </c>
      <c r="X254" s="1">
        <f>IF(O254=Schraubenlänge!$C$3,1,0)</f>
        <v>0</v>
      </c>
      <c r="Y254" s="1">
        <f>IF(P254=Schraubenlänge!$D$3,1,0)</f>
        <v>1</v>
      </c>
      <c r="Z254" s="1">
        <f t="shared" si="8"/>
        <v>0</v>
      </c>
    </row>
    <row r="255" spans="14:26" x14ac:dyDescent="0.25">
      <c r="N255" s="1" t="s">
        <v>52</v>
      </c>
      <c r="O255" s="11">
        <v>80</v>
      </c>
      <c r="P255" s="11">
        <v>40</v>
      </c>
      <c r="Q255" s="11">
        <v>8</v>
      </c>
      <c r="R255" s="11" t="s">
        <v>10</v>
      </c>
      <c r="S255" s="11">
        <v>24</v>
      </c>
      <c r="T255" s="11">
        <v>0</v>
      </c>
      <c r="U255" s="11">
        <v>18</v>
      </c>
      <c r="W255" s="1">
        <f>IF(N255=Schraubenlänge!$B$3,1,0)</f>
        <v>0</v>
      </c>
      <c r="X255" s="1">
        <f>IF(O255=Schraubenlänge!$C$3,1,0)</f>
        <v>0</v>
      </c>
      <c r="Y255" s="1">
        <f>IF(P255=Schraubenlänge!$D$3,1,0)</f>
        <v>1</v>
      </c>
      <c r="Z255" s="1">
        <f t="shared" si="8"/>
        <v>0</v>
      </c>
    </row>
    <row r="256" spans="14:26" x14ac:dyDescent="0.25">
      <c r="N256" s="1" t="s">
        <v>52</v>
      </c>
      <c r="O256" s="11">
        <v>100</v>
      </c>
      <c r="P256" s="11">
        <v>40</v>
      </c>
      <c r="Q256" s="11">
        <v>8</v>
      </c>
      <c r="R256" s="11" t="s">
        <v>5</v>
      </c>
      <c r="S256" s="11">
        <v>26</v>
      </c>
      <c r="T256" s="11">
        <v>0</v>
      </c>
      <c r="U256" s="11">
        <v>20</v>
      </c>
      <c r="W256" s="1">
        <f>IF(N256=Schraubenlänge!$B$3,1,0)</f>
        <v>0</v>
      </c>
      <c r="X256" s="1">
        <f>IF(O256=Schraubenlänge!$C$3,1,0)</f>
        <v>0</v>
      </c>
      <c r="Y256" s="1">
        <f>IF(P256=Schraubenlänge!$D$3,1,0)</f>
        <v>1</v>
      </c>
      <c r="Z256" s="1">
        <f t="shared" si="8"/>
        <v>0</v>
      </c>
    </row>
    <row r="257" spans="14:26" x14ac:dyDescent="0.25">
      <c r="N257" s="1" t="s">
        <v>52</v>
      </c>
      <c r="O257" s="11">
        <v>125</v>
      </c>
      <c r="P257" s="11">
        <v>40</v>
      </c>
      <c r="Q257" s="11">
        <v>8</v>
      </c>
      <c r="R257" s="11" t="s">
        <v>7</v>
      </c>
      <c r="S257" s="11">
        <v>28</v>
      </c>
      <c r="T257" s="11">
        <v>0</v>
      </c>
      <c r="U257" s="11">
        <v>22</v>
      </c>
      <c r="W257" s="1">
        <f>IF(N257=Schraubenlänge!$B$3,1,0)</f>
        <v>0</v>
      </c>
      <c r="X257" s="1">
        <f>IF(O257=Schraubenlänge!$C$3,1,0)</f>
        <v>0</v>
      </c>
      <c r="Y257" s="1">
        <f>IF(P257=Schraubenlänge!$D$3,1,0)</f>
        <v>1</v>
      </c>
      <c r="Z257" s="1">
        <f t="shared" si="8"/>
        <v>0</v>
      </c>
    </row>
    <row r="258" spans="14:26" x14ac:dyDescent="0.25">
      <c r="N258" s="1" t="s">
        <v>52</v>
      </c>
      <c r="O258" s="11">
        <v>150</v>
      </c>
      <c r="P258" s="11">
        <v>40</v>
      </c>
      <c r="Q258" s="11">
        <v>8</v>
      </c>
      <c r="R258" s="11" t="s">
        <v>7</v>
      </c>
      <c r="S258" s="11">
        <v>30</v>
      </c>
      <c r="T258" s="11">
        <v>0</v>
      </c>
      <c r="U258" s="11">
        <v>24</v>
      </c>
      <c r="W258" s="1">
        <f>IF(N258=Schraubenlänge!$B$3,1,0)</f>
        <v>0</v>
      </c>
      <c r="X258" s="1">
        <f>IF(O258=Schraubenlänge!$C$3,1,0)</f>
        <v>1</v>
      </c>
      <c r="Y258" s="1">
        <f>IF(P258=Schraubenlänge!$D$3,1,0)</f>
        <v>1</v>
      </c>
      <c r="Z258" s="1">
        <f t="shared" si="8"/>
        <v>0</v>
      </c>
    </row>
    <row r="259" spans="14:26" x14ac:dyDescent="0.25">
      <c r="N259" s="1" t="s">
        <v>52</v>
      </c>
      <c r="O259" s="11">
        <v>200</v>
      </c>
      <c r="P259" s="11">
        <v>40</v>
      </c>
      <c r="Q259" s="11">
        <v>12</v>
      </c>
      <c r="R259" s="11" t="s">
        <v>8</v>
      </c>
      <c r="S259" s="11">
        <v>36</v>
      </c>
      <c r="T259" s="11">
        <v>0</v>
      </c>
      <c r="U259" s="11">
        <v>28</v>
      </c>
      <c r="W259" s="1">
        <f>IF(N259=Schraubenlänge!$B$3,1,0)</f>
        <v>0</v>
      </c>
      <c r="X259" s="1">
        <f>IF(O259=Schraubenlänge!$C$3,1,0)</f>
        <v>0</v>
      </c>
      <c r="Y259" s="1">
        <f>IF(P259=Schraubenlänge!$D$3,1,0)</f>
        <v>1</v>
      </c>
      <c r="Z259" s="1">
        <f t="shared" si="8"/>
        <v>0</v>
      </c>
    </row>
    <row r="260" spans="14:26" x14ac:dyDescent="0.25">
      <c r="N260" s="1" t="s">
        <v>52</v>
      </c>
      <c r="O260" s="11">
        <v>250</v>
      </c>
      <c r="P260" s="11">
        <v>40</v>
      </c>
      <c r="Q260" s="11">
        <v>12</v>
      </c>
      <c r="R260" s="11" t="s">
        <v>6</v>
      </c>
      <c r="S260" s="11">
        <v>42</v>
      </c>
      <c r="T260" s="11">
        <v>0</v>
      </c>
      <c r="U260" s="11">
        <v>30</v>
      </c>
      <c r="W260" s="1">
        <f>IF(N260=Schraubenlänge!$B$3,1,0)</f>
        <v>0</v>
      </c>
      <c r="X260" s="1">
        <f>IF(O260=Schraubenlänge!$C$3,1,0)</f>
        <v>0</v>
      </c>
      <c r="Y260" s="1">
        <f>IF(P260=Schraubenlänge!$D$3,1,0)</f>
        <v>1</v>
      </c>
      <c r="Z260" s="1">
        <f t="shared" si="8"/>
        <v>0</v>
      </c>
    </row>
    <row r="261" spans="14:26" x14ac:dyDescent="0.25">
      <c r="N261" s="1" t="s">
        <v>52</v>
      </c>
      <c r="O261" s="11">
        <v>300</v>
      </c>
      <c r="P261" s="11">
        <v>40</v>
      </c>
      <c r="Q261" s="11">
        <v>16</v>
      </c>
      <c r="R261" s="11" t="s">
        <v>6</v>
      </c>
      <c r="S261" s="11">
        <v>52</v>
      </c>
      <c r="T261" s="11">
        <v>0</v>
      </c>
      <c r="U261" s="11">
        <v>34</v>
      </c>
      <c r="W261" s="1">
        <f>IF(N261=Schraubenlänge!$B$3,1,0)</f>
        <v>0</v>
      </c>
      <c r="X261" s="1">
        <f>IF(O261=Schraubenlänge!$C$3,1,0)</f>
        <v>0</v>
      </c>
      <c r="Y261" s="1">
        <f>IF(P261=Schraubenlänge!$D$3,1,0)</f>
        <v>1</v>
      </c>
      <c r="Z261" s="1">
        <f t="shared" si="8"/>
        <v>0</v>
      </c>
    </row>
    <row r="262" spans="14:26" x14ac:dyDescent="0.25">
      <c r="N262" s="1" t="s">
        <v>52</v>
      </c>
      <c r="O262" s="11">
        <v>350</v>
      </c>
      <c r="P262" s="11">
        <v>40</v>
      </c>
      <c r="Q262" s="11">
        <v>16</v>
      </c>
      <c r="R262" s="11" t="s">
        <v>11</v>
      </c>
      <c r="S262" s="11">
        <v>58</v>
      </c>
      <c r="T262" s="11">
        <v>0</v>
      </c>
      <c r="U262" s="11">
        <v>36</v>
      </c>
      <c r="W262" s="1">
        <f>IF(N262=Schraubenlänge!$B$3,1,0)</f>
        <v>0</v>
      </c>
      <c r="X262" s="1">
        <f>IF(O262=Schraubenlänge!$C$3,1,0)</f>
        <v>0</v>
      </c>
      <c r="Y262" s="1">
        <f>IF(P262=Schraubenlänge!$D$3,1,0)</f>
        <v>1</v>
      </c>
      <c r="Z262" s="1">
        <f t="shared" si="8"/>
        <v>0</v>
      </c>
    </row>
    <row r="263" spans="14:26" x14ac:dyDescent="0.25">
      <c r="N263" s="1" t="s">
        <v>52</v>
      </c>
      <c r="O263" s="11">
        <v>400</v>
      </c>
      <c r="P263" s="11">
        <v>40</v>
      </c>
      <c r="Q263" s="11">
        <v>16</v>
      </c>
      <c r="R263" s="11" t="s">
        <v>36</v>
      </c>
      <c r="S263" s="11">
        <v>65</v>
      </c>
      <c r="T263" s="11">
        <v>0</v>
      </c>
      <c r="U263" s="11">
        <v>42</v>
      </c>
      <c r="W263" s="1">
        <f>IF(N263=Schraubenlänge!$B$3,1,0)</f>
        <v>0</v>
      </c>
      <c r="X263" s="1">
        <f>IF(O263=Schraubenlänge!$C$3,1,0)</f>
        <v>0</v>
      </c>
      <c r="Y263" s="1">
        <f>IF(P263=Schraubenlänge!$D$3,1,0)</f>
        <v>1</v>
      </c>
      <c r="Z263" s="1">
        <f t="shared" si="8"/>
        <v>0</v>
      </c>
    </row>
    <row r="264" spans="14:26" x14ac:dyDescent="0.25">
      <c r="N264" s="1" t="s">
        <v>52</v>
      </c>
      <c r="O264" s="11">
        <v>450</v>
      </c>
      <c r="P264" s="11">
        <v>40</v>
      </c>
      <c r="Q264" s="11">
        <v>20</v>
      </c>
      <c r="R264" s="11" t="s">
        <v>36</v>
      </c>
      <c r="S264" s="11" t="s">
        <v>56</v>
      </c>
      <c r="T264" s="11">
        <v>0</v>
      </c>
      <c r="U264" s="11">
        <v>46</v>
      </c>
      <c r="W264" s="1">
        <f>IF(N264=Schraubenlänge!$B$3,1,0)</f>
        <v>0</v>
      </c>
      <c r="X264" s="1">
        <f>IF(O264=Schraubenlänge!$C$3,1,0)</f>
        <v>0</v>
      </c>
      <c r="Y264" s="1">
        <f>IF(P264=Schraubenlänge!$D$3,1,0)</f>
        <v>1</v>
      </c>
      <c r="Z264" s="1">
        <f t="shared" si="8"/>
        <v>0</v>
      </c>
    </row>
    <row r="265" spans="14:26" x14ac:dyDescent="0.25">
      <c r="N265" s="1" t="s">
        <v>52</v>
      </c>
      <c r="O265" s="11">
        <v>500</v>
      </c>
      <c r="P265" s="11">
        <v>40</v>
      </c>
      <c r="Q265" s="11">
        <v>20</v>
      </c>
      <c r="R265" s="11" t="s">
        <v>54</v>
      </c>
      <c r="S265" s="11" t="s">
        <v>56</v>
      </c>
      <c r="T265" s="11">
        <v>0</v>
      </c>
      <c r="U265" s="11">
        <v>50</v>
      </c>
      <c r="W265" s="1">
        <f>IF(N265=Schraubenlänge!$B$3,1,0)</f>
        <v>0</v>
      </c>
      <c r="X265" s="1">
        <f>IF(O265=Schraubenlänge!$C$3,1,0)</f>
        <v>0</v>
      </c>
      <c r="Y265" s="1">
        <f>IF(P265=Schraubenlänge!$D$3,1,0)</f>
        <v>1</v>
      </c>
      <c r="Z265" s="1">
        <f t="shared" si="8"/>
        <v>0</v>
      </c>
    </row>
    <row r="266" spans="14:26" x14ac:dyDescent="0.25">
      <c r="N266" s="1" t="s">
        <v>52</v>
      </c>
      <c r="O266" s="11">
        <v>600</v>
      </c>
      <c r="P266" s="11">
        <v>40</v>
      </c>
      <c r="Q266" s="11">
        <v>20</v>
      </c>
      <c r="R266" s="11" t="s">
        <v>55</v>
      </c>
      <c r="S266" s="11" t="s">
        <v>56</v>
      </c>
      <c r="T266" s="11">
        <v>0</v>
      </c>
      <c r="U266" s="11">
        <v>54</v>
      </c>
      <c r="W266" s="1">
        <f>IF(N266=Schraubenlänge!$B$3,1,0)</f>
        <v>0</v>
      </c>
      <c r="X266" s="1">
        <f>IF(O266=Schraubenlänge!$C$3,1,0)</f>
        <v>0</v>
      </c>
      <c r="Y266" s="1">
        <f>IF(P266=Schraubenlänge!$D$3,1,0)</f>
        <v>1</v>
      </c>
      <c r="Z266" s="1">
        <f t="shared" si="8"/>
        <v>0</v>
      </c>
    </row>
  </sheetData>
  <dataConsolidate/>
  <mergeCells count="2">
    <mergeCell ref="E5:F6"/>
    <mergeCell ref="E8:F9"/>
  </mergeCells>
  <dataValidations disablePrompts="1" count="1">
    <dataValidation type="list" allowBlank="1" showInputMessage="1" showErrorMessage="1" sqref="B3" xr:uid="{00000000-0002-0000-0000-000000000000}">
      <formula1>$AK$2:$AK$33</formula1>
    </dataValidation>
  </dataValidations>
  <pageMargins left="0.7" right="0.7" top="0.78740157499999996" bottom="0.78740157499999996" header="0.3" footer="0.3"/>
  <pageSetup paperSize="9" orientation="portrait" r:id="rId1"/>
  <headerFooter>
    <oddFooter>&amp;C_x000D_&amp;1#&amp;"Calibri"&amp;10&amp;K000000 Confidentiality: Internal</oddFooter>
  </headerFooter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Schraubenlänge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2026-04-29T05:59:12Z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02d7af-770e-4ff9-b119-21595b3bb0e4_Enabled">
    <vt:lpwstr>true</vt:lpwstr>
  </property>
  <property fmtid="{D5CDD505-2E9C-101B-9397-08002B2CF9AE}" pid="3" name="MSIP_Label_4002d7af-770e-4ff9-b119-21595b3bb0e4_SetDate">
    <vt:lpwstr>2024-05-22T09:59:51Z</vt:lpwstr>
  </property>
  <property fmtid="{D5CDD505-2E9C-101B-9397-08002B2CF9AE}" pid="4" name="MSIP_Label_4002d7af-770e-4ff9-b119-21595b3bb0e4_Method">
    <vt:lpwstr>Standard</vt:lpwstr>
  </property>
  <property fmtid="{D5CDD505-2E9C-101B-9397-08002B2CF9AE}" pid="5" name="MSIP_Label_4002d7af-770e-4ff9-b119-21595b3bb0e4_Name">
    <vt:lpwstr>Internal</vt:lpwstr>
  </property>
  <property fmtid="{D5CDD505-2E9C-101B-9397-08002B2CF9AE}" pid="6" name="MSIP_Label_4002d7af-770e-4ff9-b119-21595b3bb0e4_SiteId">
    <vt:lpwstr>a0c73f02-35f4-41e3-be9d-9f7b606571cc</vt:lpwstr>
  </property>
  <property fmtid="{D5CDD505-2E9C-101B-9397-08002B2CF9AE}" pid="7" name="MSIP_Label_4002d7af-770e-4ff9-b119-21595b3bb0e4_ActionId">
    <vt:lpwstr>73f1143f-2604-4ff3-b9d0-617ad2ed6db6</vt:lpwstr>
  </property>
  <property fmtid="{D5CDD505-2E9C-101B-9397-08002B2CF9AE}" pid="8" name="MSIP_Label_4002d7af-770e-4ff9-b119-21595b3bb0e4_ContentBits">
    <vt:lpwstr>2</vt:lpwstr>
  </property>
</Properties>
</file>